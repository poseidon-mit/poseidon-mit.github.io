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shinjifujiwara/code/poseidon-mit.github.io/financial/"/>
    </mc:Choice>
  </mc:AlternateContent>
  <xr:revisionPtr revIDLastSave="0" documentId="13_ncr:1_{93C7BF79-597C-974A-9CC5-99A8580EE0AF}" xr6:coauthVersionLast="47" xr6:coauthVersionMax="47" xr10:uidLastSave="{00000000-0000-0000-0000-000000000000}"/>
  <bookViews>
    <workbookView xWindow="0" yWindow="680" windowWidth="30240" windowHeight="18960" activeTab="4" xr2:uid="{00000000-000D-0000-FFFF-FFFF00000000}"/>
  </bookViews>
  <sheets>
    <sheet name="Assumptions" sheetId="1" r:id="rId1"/>
    <sheet name="User Growth" sheetId="2" r:id="rId2"/>
    <sheet name="Revenue" sheetId="3" r:id="rId3"/>
    <sheet name="Costs" sheetId="4" r:id="rId4"/>
    <sheet name="CAC Analysis" sheetId="10" r:id="rId5"/>
    <sheet name="Unit Economics" sheetId="5" r:id="rId6"/>
    <sheet name="Cash Flow" sheetId="6" r:id="rId7"/>
    <sheet name="Dashboard" sheetId="7" r:id="rId8"/>
    <sheet name="Slide Metrics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3" i="10" l="1"/>
  <c r="C21" i="10"/>
  <c r="E8" i="2"/>
  <c r="D8" i="2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J14" i="10"/>
  <c r="AK14" i="10"/>
  <c r="AL14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J13" i="10"/>
  <c r="AK13" i="10"/>
  <c r="AL13" i="10"/>
  <c r="C14" i="10"/>
  <c r="C13" i="10"/>
  <c r="C6" i="10"/>
  <c r="B11" i="7"/>
  <c r="C14" i="6"/>
  <c r="C11" i="6"/>
  <c r="AL10" i="6"/>
  <c r="AK10" i="6"/>
  <c r="AJ10" i="6"/>
  <c r="AI10" i="6"/>
  <c r="AH10" i="6"/>
  <c r="AG10" i="6"/>
  <c r="AF10" i="6"/>
  <c r="AE10" i="6"/>
  <c r="AD10" i="6"/>
  <c r="AC10" i="6"/>
  <c r="AB10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C12" i="6" s="1"/>
  <c r="B61" i="5"/>
  <c r="B56" i="5"/>
  <c r="B51" i="5"/>
  <c r="B41" i="5"/>
  <c r="B45" i="5" s="1"/>
  <c r="B24" i="5"/>
  <c r="B19" i="5"/>
  <c r="B11" i="5"/>
  <c r="B10" i="5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K11" i="4"/>
  <c r="O10" i="4"/>
  <c r="O11" i="4" s="1"/>
  <c r="K10" i="4"/>
  <c r="J10" i="4"/>
  <c r="J11" i="4" s="1"/>
  <c r="C23" i="2"/>
  <c r="C17" i="2"/>
  <c r="C8" i="2"/>
  <c r="C8" i="10" s="1"/>
  <c r="C7" i="2"/>
  <c r="D7" i="2" s="1"/>
  <c r="E7" i="2" s="1"/>
  <c r="F7" i="2" s="1"/>
  <c r="G7" i="2" s="1"/>
  <c r="H7" i="2" s="1"/>
  <c r="I7" i="2" s="1"/>
  <c r="J7" i="2" s="1"/>
  <c r="K7" i="2" s="1"/>
  <c r="L7" i="2" s="1"/>
  <c r="M7" i="2" s="1"/>
  <c r="N7" i="2" s="1"/>
  <c r="O7" i="2" s="1"/>
  <c r="P7" i="2" s="1"/>
  <c r="Q7" i="2" s="1"/>
  <c r="R7" i="2" s="1"/>
  <c r="S7" i="2" s="1"/>
  <c r="T7" i="2" s="1"/>
  <c r="U7" i="2" s="1"/>
  <c r="V7" i="2" s="1"/>
  <c r="W7" i="2" s="1"/>
  <c r="X7" i="2" s="1"/>
  <c r="Y7" i="2" s="1"/>
  <c r="Z7" i="2" s="1"/>
  <c r="AA7" i="2" s="1"/>
  <c r="AB7" i="2" s="1"/>
  <c r="AC7" i="2" s="1"/>
  <c r="AD7" i="2" s="1"/>
  <c r="AE7" i="2" s="1"/>
  <c r="AF7" i="2" s="1"/>
  <c r="AG7" i="2" s="1"/>
  <c r="AH7" i="2" s="1"/>
  <c r="AI7" i="2" s="1"/>
  <c r="AJ7" i="2" s="1"/>
  <c r="AK7" i="2" s="1"/>
  <c r="AL7" i="2" s="1"/>
  <c r="AL7" i="10" s="1"/>
  <c r="C6" i="2"/>
  <c r="B75" i="1"/>
  <c r="B11" i="8" s="1"/>
  <c r="B74" i="1"/>
  <c r="D48" i="1"/>
  <c r="C48" i="1"/>
  <c r="S10" i="4" s="1"/>
  <c r="S11" i="4" s="1"/>
  <c r="B48" i="1"/>
  <c r="B37" i="1"/>
  <c r="B30" i="1"/>
  <c r="B29" i="1"/>
  <c r="B44" i="5" s="1"/>
  <c r="C8" i="1"/>
  <c r="C7" i="1"/>
  <c r="AE7" i="10" l="1"/>
  <c r="S7" i="10"/>
  <c r="G7" i="10"/>
  <c r="AD7" i="10"/>
  <c r="F7" i="10"/>
  <c r="B12" i="5"/>
  <c r="C7" i="10"/>
  <c r="AB7" i="10"/>
  <c r="AB16" i="10" s="1"/>
  <c r="P7" i="10"/>
  <c r="D7" i="10"/>
  <c r="AA16" i="10"/>
  <c r="O16" i="10"/>
  <c r="R7" i="10"/>
  <c r="AC7" i="10"/>
  <c r="Q7" i="10"/>
  <c r="E7" i="10"/>
  <c r="B18" i="5"/>
  <c r="B20" i="5" s="1"/>
  <c r="B21" i="5" s="1"/>
  <c r="B21" i="8" s="1"/>
  <c r="AA7" i="10"/>
  <c r="O7" i="10"/>
  <c r="AL16" i="10"/>
  <c r="Z16" i="10"/>
  <c r="N16" i="10"/>
  <c r="N7" i="10"/>
  <c r="M16" i="10"/>
  <c r="Y7" i="10"/>
  <c r="M7" i="10"/>
  <c r="P10" i="4"/>
  <c r="P11" i="4" s="1"/>
  <c r="X7" i="10"/>
  <c r="X16" i="10" s="1"/>
  <c r="L7" i="10"/>
  <c r="L16" i="10" s="1"/>
  <c r="AI7" i="10"/>
  <c r="AI16" i="10" s="1"/>
  <c r="W7" i="10"/>
  <c r="K7" i="10"/>
  <c r="K16" i="10" s="1"/>
  <c r="Z7" i="10"/>
  <c r="Y16" i="10"/>
  <c r="AK7" i="10"/>
  <c r="AJ7" i="10"/>
  <c r="AH7" i="10"/>
  <c r="V7" i="10"/>
  <c r="J7" i="10"/>
  <c r="AG16" i="10"/>
  <c r="U16" i="10"/>
  <c r="AG7" i="10"/>
  <c r="U7" i="10"/>
  <c r="I7" i="10"/>
  <c r="Q10" i="4"/>
  <c r="Q11" i="4" s="1"/>
  <c r="R10" i="4"/>
  <c r="R11" i="4" s="1"/>
  <c r="T10" i="4"/>
  <c r="T11" i="4" s="1"/>
  <c r="AF7" i="10"/>
  <c r="AF16" i="10" s="1"/>
  <c r="T7" i="10"/>
  <c r="T16" i="10" s="1"/>
  <c r="H7" i="10"/>
  <c r="H16" i="10" s="1"/>
  <c r="C15" i="10"/>
  <c r="AD16" i="10"/>
  <c r="R16" i="10"/>
  <c r="F16" i="10"/>
  <c r="AC16" i="10"/>
  <c r="E16" i="10"/>
  <c r="D16" i="10"/>
  <c r="AL10" i="4"/>
  <c r="AL11" i="4" s="1"/>
  <c r="Z10" i="4"/>
  <c r="Z11" i="4" s="1"/>
  <c r="AK10" i="4"/>
  <c r="AK11" i="4" s="1"/>
  <c r="Y10" i="4"/>
  <c r="Y11" i="4" s="1"/>
  <c r="AJ10" i="4"/>
  <c r="AJ11" i="4" s="1"/>
  <c r="X10" i="4"/>
  <c r="X11" i="4" s="1"/>
  <c r="AA10" i="4"/>
  <c r="AA11" i="4" s="1"/>
  <c r="W10" i="4"/>
  <c r="W11" i="4" s="1"/>
  <c r="B60" i="5"/>
  <c r="B62" i="5" s="1"/>
  <c r="V10" i="4"/>
  <c r="V11" i="4" s="1"/>
  <c r="U10" i="4"/>
  <c r="U11" i="4" s="1"/>
  <c r="AH10" i="4"/>
  <c r="AH11" i="4" s="1"/>
  <c r="AG10" i="4"/>
  <c r="AG11" i="4" s="1"/>
  <c r="AB10" i="4"/>
  <c r="AB11" i="4" s="1"/>
  <c r="AE10" i="4"/>
  <c r="AE11" i="4" s="1"/>
  <c r="AI10" i="4"/>
  <c r="AI11" i="4" s="1"/>
  <c r="AF10" i="4"/>
  <c r="AF11" i="4" s="1"/>
  <c r="AD10" i="4"/>
  <c r="AD11" i="4" s="1"/>
  <c r="AC10" i="4"/>
  <c r="AC11" i="4" s="1"/>
  <c r="C9" i="2"/>
  <c r="D6" i="2"/>
  <c r="D6" i="10" s="1"/>
  <c r="H10" i="4"/>
  <c r="H11" i="4" s="1"/>
  <c r="G10" i="4"/>
  <c r="G11" i="4" s="1"/>
  <c r="F10" i="4"/>
  <c r="F11" i="4" s="1"/>
  <c r="D10" i="4"/>
  <c r="D11" i="4" s="1"/>
  <c r="B50" i="5"/>
  <c r="B52" i="5" s="1"/>
  <c r="C10" i="4"/>
  <c r="C11" i="4" s="1"/>
  <c r="E10" i="4"/>
  <c r="E11" i="4" s="1"/>
  <c r="B10" i="8"/>
  <c r="B12" i="8"/>
  <c r="B46" i="5"/>
  <c r="B47" i="5" s="1"/>
  <c r="B23" i="5"/>
  <c r="B25" i="5" s="1"/>
  <c r="B26" i="5" s="1"/>
  <c r="B22" i="8" s="1"/>
  <c r="B13" i="5"/>
  <c r="B6" i="5"/>
  <c r="B7" i="5"/>
  <c r="B5" i="5"/>
  <c r="B20" i="8" s="1"/>
  <c r="B18" i="8"/>
  <c r="B14" i="5"/>
  <c r="B16" i="8" s="1"/>
  <c r="B48" i="8"/>
  <c r="B49" i="8" s="1"/>
  <c r="N10" i="4"/>
  <c r="N11" i="4" s="1"/>
  <c r="B55" i="5"/>
  <c r="B57" i="5" s="1"/>
  <c r="M10" i="4"/>
  <c r="M11" i="4" s="1"/>
  <c r="L10" i="4"/>
  <c r="L11" i="4" s="1"/>
  <c r="I10" i="4"/>
  <c r="I11" i="4" s="1"/>
  <c r="W16" i="10" l="1"/>
  <c r="S16" i="10"/>
  <c r="AJ16" i="10"/>
  <c r="AH16" i="10"/>
  <c r="G16" i="10"/>
  <c r="J16" i="10"/>
  <c r="AE16" i="10"/>
  <c r="Q16" i="10"/>
  <c r="P16" i="10"/>
  <c r="AK16" i="10"/>
  <c r="V16" i="10"/>
  <c r="C11" i="2"/>
  <c r="C14" i="2" s="1"/>
  <c r="C9" i="10"/>
  <c r="C22" i="10" s="1"/>
  <c r="I16" i="10"/>
  <c r="C16" i="10"/>
  <c r="B53" i="5"/>
  <c r="B63" i="5"/>
  <c r="B58" i="5"/>
  <c r="C13" i="2"/>
  <c r="C12" i="2"/>
  <c r="E6" i="2"/>
  <c r="E6" i="10" s="1"/>
  <c r="B15" i="5"/>
  <c r="B17" i="8" s="1"/>
  <c r="B19" i="8"/>
  <c r="C27" i="10" l="1"/>
  <c r="C19" i="10"/>
  <c r="C23" i="10"/>
  <c r="F6" i="2"/>
  <c r="F6" i="10" s="1"/>
  <c r="C18" i="2"/>
  <c r="C11" i="3"/>
  <c r="C15" i="2"/>
  <c r="C6" i="4" l="1"/>
  <c r="C20" i="2"/>
  <c r="C19" i="2"/>
  <c r="G6" i="2"/>
  <c r="G6" i="10" s="1"/>
  <c r="C21" i="2" l="1"/>
  <c r="D17" i="2" s="1"/>
  <c r="H6" i="2"/>
  <c r="H6" i="10" s="1"/>
  <c r="C12" i="3"/>
  <c r="C24" i="2"/>
  <c r="C6" i="3" l="1"/>
  <c r="C25" i="2"/>
  <c r="C13" i="3" s="1"/>
  <c r="C14" i="3" s="1"/>
  <c r="I6" i="2"/>
  <c r="I6" i="10" s="1"/>
  <c r="J6" i="2" l="1"/>
  <c r="J6" i="10" s="1"/>
  <c r="C26" i="2"/>
  <c r="C7" i="3" l="1"/>
  <c r="C8" i="3" s="1"/>
  <c r="D23" i="2"/>
  <c r="C29" i="2"/>
  <c r="C31" i="10" s="1"/>
  <c r="C28" i="2"/>
  <c r="K6" i="2"/>
  <c r="K6" i="10" s="1"/>
  <c r="D9" i="2" l="1"/>
  <c r="D8" i="10"/>
  <c r="L6" i="2"/>
  <c r="L6" i="10" s="1"/>
  <c r="B4" i="7"/>
  <c r="C13" i="4"/>
  <c r="C14" i="4"/>
  <c r="C30" i="2"/>
  <c r="B5" i="7"/>
  <c r="C7" i="4"/>
  <c r="C8" i="4" s="1"/>
  <c r="C18" i="3"/>
  <c r="B6" i="7"/>
  <c r="C9" i="3"/>
  <c r="B7" i="7" s="1"/>
  <c r="C16" i="3"/>
  <c r="D15" i="10" l="1"/>
  <c r="D11" i="2"/>
  <c r="D9" i="10"/>
  <c r="C6" i="6"/>
  <c r="C16" i="4"/>
  <c r="C17" i="3"/>
  <c r="C21" i="4"/>
  <c r="C22" i="4" s="1"/>
  <c r="B10" i="7" s="1"/>
  <c r="M6" i="2"/>
  <c r="M6" i="10" s="1"/>
  <c r="D21" i="10" l="1"/>
  <c r="D22" i="10"/>
  <c r="D27" i="10"/>
  <c r="D14" i="2"/>
  <c r="D12" i="2"/>
  <c r="D13" i="2"/>
  <c r="D19" i="10"/>
  <c r="D23" i="10"/>
  <c r="C18" i="4"/>
  <c r="C20" i="4" s="1"/>
  <c r="C7" i="6" s="1"/>
  <c r="C16" i="6" s="1"/>
  <c r="C10" i="10"/>
  <c r="C15" i="6"/>
  <c r="N6" i="2"/>
  <c r="N6" i="10" s="1"/>
  <c r="D15" i="2" l="1"/>
  <c r="D6" i="4" s="1"/>
  <c r="D11" i="3"/>
  <c r="D18" i="2"/>
  <c r="C23" i="4"/>
  <c r="C20" i="10"/>
  <c r="C32" i="10"/>
  <c r="C26" i="10"/>
  <c r="C8" i="6"/>
  <c r="C17" i="6"/>
  <c r="C18" i="6" s="1"/>
  <c r="D14" i="6" s="1"/>
  <c r="O6" i="2"/>
  <c r="O6" i="10" s="1"/>
  <c r="B9" i="7"/>
  <c r="C24" i="4"/>
  <c r="C20" i="6" l="1"/>
  <c r="C21" i="6"/>
  <c r="D19" i="2"/>
  <c r="D20" i="2"/>
  <c r="D21" i="2"/>
  <c r="D6" i="3" s="1"/>
  <c r="C28" i="10"/>
  <c r="C33" i="10"/>
  <c r="C34" i="10"/>
  <c r="B8" i="7"/>
  <c r="E17" i="2"/>
  <c r="P6" i="2"/>
  <c r="P6" i="10" s="1"/>
  <c r="D12" i="3" l="1"/>
  <c r="D24" i="2"/>
  <c r="D25" i="2" s="1"/>
  <c r="D13" i="3" s="1"/>
  <c r="D19" i="3" s="1"/>
  <c r="C11" i="7" s="1"/>
  <c r="Q6" i="2"/>
  <c r="Q6" i="10" s="1"/>
  <c r="D26" i="2"/>
  <c r="D14" i="3"/>
  <c r="D7" i="3" l="1"/>
  <c r="D8" i="3" s="1"/>
  <c r="E23" i="2"/>
  <c r="D29" i="2"/>
  <c r="D31" i="10" s="1"/>
  <c r="D28" i="2"/>
  <c r="R6" i="2"/>
  <c r="R6" i="10" s="1"/>
  <c r="E9" i="2" l="1"/>
  <c r="E8" i="10"/>
  <c r="S6" i="2"/>
  <c r="S6" i="10" s="1"/>
  <c r="C5" i="7"/>
  <c r="D7" i="4"/>
  <c r="D8" i="4" s="1"/>
  <c r="D18" i="3"/>
  <c r="C4" i="7"/>
  <c r="D13" i="4"/>
  <c r="D14" i="4"/>
  <c r="D30" i="2"/>
  <c r="C6" i="7"/>
  <c r="D11" i="6"/>
  <c r="D12" i="6" s="1"/>
  <c r="D9" i="3"/>
  <c r="C7" i="7" s="1"/>
  <c r="D16" i="3"/>
  <c r="E15" i="10" l="1"/>
  <c r="E11" i="2"/>
  <c r="E9" i="10"/>
  <c r="D21" i="4"/>
  <c r="D22" i="4" s="1"/>
  <c r="C10" i="7" s="1"/>
  <c r="D6" i="6"/>
  <c r="D16" i="4"/>
  <c r="D17" i="3"/>
  <c r="T6" i="2"/>
  <c r="T6" i="10" s="1"/>
  <c r="E22" i="10" l="1"/>
  <c r="E21" i="10"/>
  <c r="E27" i="10"/>
  <c r="E13" i="2"/>
  <c r="E14" i="2"/>
  <c r="E12" i="2"/>
  <c r="E19" i="10"/>
  <c r="E23" i="10"/>
  <c r="D18" i="4"/>
  <c r="D20" i="4" s="1"/>
  <c r="D7" i="6" s="1"/>
  <c r="D16" i="6" s="1"/>
  <c r="D10" i="10"/>
  <c r="D23" i="4"/>
  <c r="D15" i="6"/>
  <c r="U6" i="2"/>
  <c r="U6" i="10" s="1"/>
  <c r="E18" i="2" l="1"/>
  <c r="E11" i="3"/>
  <c r="E15" i="2"/>
  <c r="D20" i="10"/>
  <c r="D32" i="10"/>
  <c r="D26" i="10"/>
  <c r="D8" i="6"/>
  <c r="D17" i="6"/>
  <c r="D18" i="6" s="1"/>
  <c r="E14" i="6" s="1"/>
  <c r="V6" i="2"/>
  <c r="V6" i="10" s="1"/>
  <c r="C9" i="7"/>
  <c r="D24" i="4"/>
  <c r="E6" i="4" l="1"/>
  <c r="E20" i="2"/>
  <c r="E19" i="2"/>
  <c r="E21" i="2"/>
  <c r="F17" i="2" s="1"/>
  <c r="D28" i="10"/>
  <c r="D34" i="10"/>
  <c r="D33" i="10"/>
  <c r="D20" i="6"/>
  <c r="C8" i="7"/>
  <c r="D21" i="6"/>
  <c r="W6" i="2"/>
  <c r="W6" i="10" s="1"/>
  <c r="E6" i="3" l="1"/>
  <c r="E12" i="3"/>
  <c r="E24" i="2"/>
  <c r="E25" i="2" s="1"/>
  <c r="E13" i="3" s="1"/>
  <c r="E19" i="3" s="1"/>
  <c r="D11" i="7" s="1"/>
  <c r="E14" i="3"/>
  <c r="E26" i="2"/>
  <c r="F8" i="2" s="1"/>
  <c r="X6" i="2"/>
  <c r="X6" i="10" s="1"/>
  <c r="Y6" i="2" l="1"/>
  <c r="Y6" i="10" s="1"/>
  <c r="F23" i="2"/>
  <c r="E7" i="3"/>
  <c r="E8" i="3" s="1"/>
  <c r="E29" i="2"/>
  <c r="E31" i="10" s="1"/>
  <c r="E28" i="2"/>
  <c r="F9" i="2" l="1"/>
  <c r="F8" i="10"/>
  <c r="D6" i="7"/>
  <c r="E11" i="6"/>
  <c r="E12" i="6" s="1"/>
  <c r="E16" i="3"/>
  <c r="E9" i="3"/>
  <c r="D7" i="7" s="1"/>
  <c r="D4" i="7"/>
  <c r="E14" i="4"/>
  <c r="E13" i="4"/>
  <c r="E30" i="2"/>
  <c r="D5" i="7"/>
  <c r="E18" i="3"/>
  <c r="E7" i="4"/>
  <c r="E8" i="4" s="1"/>
  <c r="Z6" i="2"/>
  <c r="Z6" i="10" s="1"/>
  <c r="F15" i="10" l="1"/>
  <c r="F11" i="2"/>
  <c r="F9" i="10"/>
  <c r="AA6" i="2"/>
  <c r="AA6" i="10" s="1"/>
  <c r="E6" i="6"/>
  <c r="E21" i="4"/>
  <c r="E22" i="4" s="1"/>
  <c r="D10" i="7" s="1"/>
  <c r="E16" i="4"/>
  <c r="E17" i="3"/>
  <c r="F22" i="10" l="1"/>
  <c r="F21" i="10"/>
  <c r="F27" i="10"/>
  <c r="F19" i="10"/>
  <c r="F23" i="10"/>
  <c r="F13" i="2"/>
  <c r="F12" i="2"/>
  <c r="F14" i="2"/>
  <c r="E18" i="4"/>
  <c r="E20" i="4" s="1"/>
  <c r="E7" i="6" s="1"/>
  <c r="E16" i="6" s="1"/>
  <c r="E10" i="10"/>
  <c r="E15" i="6"/>
  <c r="AB6" i="2"/>
  <c r="AB6" i="10" s="1"/>
  <c r="F18" i="2" l="1"/>
  <c r="F11" i="3"/>
  <c r="F15" i="2"/>
  <c r="E23" i="4"/>
  <c r="D9" i="7" s="1"/>
  <c r="E8" i="6"/>
  <c r="E21" i="6" s="1"/>
  <c r="E17" i="6"/>
  <c r="E18" i="6" s="1"/>
  <c r="F14" i="6" s="1"/>
  <c r="E20" i="10"/>
  <c r="E32" i="10"/>
  <c r="E26" i="10"/>
  <c r="AC6" i="2"/>
  <c r="AC6" i="10" s="1"/>
  <c r="F6" i="4" l="1"/>
  <c r="E20" i="6"/>
  <c r="E24" i="4"/>
  <c r="D8" i="7"/>
  <c r="F19" i="2"/>
  <c r="F20" i="2"/>
  <c r="E28" i="10"/>
  <c r="E34" i="10"/>
  <c r="E33" i="10"/>
  <c r="AD6" i="2"/>
  <c r="AD6" i="10" s="1"/>
  <c r="F21" i="2" l="1"/>
  <c r="F12" i="3"/>
  <c r="F24" i="2"/>
  <c r="F25" i="2" s="1"/>
  <c r="F13" i="3" s="1"/>
  <c r="F19" i="3" s="1"/>
  <c r="E11" i="7" s="1"/>
  <c r="AE6" i="2"/>
  <c r="AE6" i="10" s="1"/>
  <c r="F14" i="3" l="1"/>
  <c r="F26" i="2"/>
  <c r="G23" i="2" s="1"/>
  <c r="F6" i="3"/>
  <c r="G17" i="2"/>
  <c r="AF6" i="2"/>
  <c r="AF6" i="10" s="1"/>
  <c r="F29" i="2"/>
  <c r="F31" i="10" s="1"/>
  <c r="G8" i="2" l="1"/>
  <c r="F28" i="2"/>
  <c r="F14" i="4" s="1"/>
  <c r="F7" i="3"/>
  <c r="F8" i="3" s="1"/>
  <c r="F18" i="3" s="1"/>
  <c r="G9" i="2"/>
  <c r="G8" i="10"/>
  <c r="E5" i="7"/>
  <c r="F7" i="4"/>
  <c r="F8" i="4" s="1"/>
  <c r="F16" i="3"/>
  <c r="F9" i="3"/>
  <c r="E7" i="7" s="1"/>
  <c r="AG6" i="2"/>
  <c r="AG6" i="10" s="1"/>
  <c r="E4" i="7" l="1"/>
  <c r="F11" i="6"/>
  <c r="F12" i="6" s="1"/>
  <c r="E6" i="7"/>
  <c r="F30" i="2"/>
  <c r="F13" i="4"/>
  <c r="G15" i="10"/>
  <c r="G11" i="2"/>
  <c r="G9" i="10"/>
  <c r="AH6" i="2"/>
  <c r="AH6" i="10" s="1"/>
  <c r="F6" i="6"/>
  <c r="F21" i="4"/>
  <c r="F22" i="4" s="1"/>
  <c r="E10" i="7" s="1"/>
  <c r="F16" i="4"/>
  <c r="F17" i="3"/>
  <c r="G22" i="10" l="1"/>
  <c r="G21" i="10"/>
  <c r="G27" i="10"/>
  <c r="G13" i="2"/>
  <c r="G12" i="2"/>
  <c r="G14" i="2"/>
  <c r="G19" i="10"/>
  <c r="G23" i="10"/>
  <c r="F18" i="4"/>
  <c r="F20" i="4" s="1"/>
  <c r="F7" i="6" s="1"/>
  <c r="F16" i="6" s="1"/>
  <c r="F10" i="10"/>
  <c r="F15" i="6"/>
  <c r="AI6" i="2"/>
  <c r="AI6" i="10" s="1"/>
  <c r="G15" i="2" l="1"/>
  <c r="G11" i="3"/>
  <c r="G18" i="2"/>
  <c r="F8" i="6"/>
  <c r="F23" i="4"/>
  <c r="F24" i="4" s="1"/>
  <c r="F17" i="6"/>
  <c r="F18" i="6" s="1"/>
  <c r="G14" i="6" s="1"/>
  <c r="F20" i="10"/>
  <c r="F32" i="10"/>
  <c r="F26" i="10"/>
  <c r="AJ6" i="2"/>
  <c r="AJ6" i="10" s="1"/>
  <c r="F21" i="6"/>
  <c r="E9" i="7"/>
  <c r="G6" i="4" l="1"/>
  <c r="F20" i="6"/>
  <c r="E8" i="7"/>
  <c r="G20" i="2"/>
  <c r="G19" i="2"/>
  <c r="F28" i="10"/>
  <c r="F33" i="10"/>
  <c r="F34" i="10"/>
  <c r="AK6" i="2"/>
  <c r="AK6" i="10" s="1"/>
  <c r="G12" i="3" l="1"/>
  <c r="G21" i="2"/>
  <c r="G24" i="2"/>
  <c r="G25" i="2" s="1"/>
  <c r="G13" i="3" s="1"/>
  <c r="G19" i="3" s="1"/>
  <c r="F11" i="7" s="1"/>
  <c r="AL6" i="2"/>
  <c r="AL6" i="10" s="1"/>
  <c r="H8" i="2" l="1"/>
  <c r="G14" i="3"/>
  <c r="G26" i="2"/>
  <c r="H17" i="2"/>
  <c r="G6" i="3"/>
  <c r="H23" i="2"/>
  <c r="G7" i="3"/>
  <c r="G8" i="3" s="1"/>
  <c r="G29" i="2"/>
  <c r="G31" i="10" s="1"/>
  <c r="G28" i="2"/>
  <c r="H9" i="2" l="1"/>
  <c r="H8" i="10"/>
  <c r="F4" i="7"/>
  <c r="G14" i="4"/>
  <c r="G30" i="2"/>
  <c r="G13" i="4"/>
  <c r="F5" i="7"/>
  <c r="G7" i="4"/>
  <c r="G8" i="4" s="1"/>
  <c r="G18" i="3"/>
  <c r="F6" i="7"/>
  <c r="G11" i="6"/>
  <c r="G12" i="6" s="1"/>
  <c r="G9" i="3"/>
  <c r="F7" i="7" s="1"/>
  <c r="G16" i="3"/>
  <c r="H15" i="10" l="1"/>
  <c r="H11" i="2"/>
  <c r="H9" i="10"/>
  <c r="G21" i="4"/>
  <c r="G22" i="4" s="1"/>
  <c r="F10" i="7" s="1"/>
  <c r="G16" i="4"/>
  <c r="G6" i="6"/>
  <c r="G17" i="3"/>
  <c r="H22" i="10" l="1"/>
  <c r="H21" i="10"/>
  <c r="H27" i="10"/>
  <c r="H13" i="2"/>
  <c r="H14" i="2"/>
  <c r="H12" i="2"/>
  <c r="H19" i="10"/>
  <c r="H23" i="10"/>
  <c r="G18" i="4"/>
  <c r="G20" i="4" s="1"/>
  <c r="G10" i="10"/>
  <c r="G7" i="6"/>
  <c r="G16" i="6" s="1"/>
  <c r="G23" i="4"/>
  <c r="G15" i="6"/>
  <c r="H15" i="2" l="1"/>
  <c r="H11" i="3"/>
  <c r="H18" i="2"/>
  <c r="G20" i="10"/>
  <c r="G32" i="10"/>
  <c r="G26" i="10"/>
  <c r="G8" i="6"/>
  <c r="G21" i="6" s="1"/>
  <c r="G17" i="6"/>
  <c r="G18" i="6" s="1"/>
  <c r="F8" i="7" s="1"/>
  <c r="F9" i="7"/>
  <c r="G24" i="4"/>
  <c r="H6" i="4" l="1"/>
  <c r="H20" i="2"/>
  <c r="H19" i="2"/>
  <c r="G28" i="10"/>
  <c r="G34" i="10"/>
  <c r="G33" i="10"/>
  <c r="G20" i="6"/>
  <c r="H14" i="6"/>
  <c r="H21" i="2" l="1"/>
  <c r="H12" i="3"/>
  <c r="H24" i="2"/>
  <c r="H25" i="2" s="1"/>
  <c r="H13" i="3" s="1"/>
  <c r="H19" i="3" s="1"/>
  <c r="G11" i="7" s="1"/>
  <c r="H26" i="2" l="1"/>
  <c r="I8" i="2"/>
  <c r="H14" i="3"/>
  <c r="H6" i="3"/>
  <c r="I17" i="2"/>
  <c r="H7" i="3"/>
  <c r="I23" i="2"/>
  <c r="H29" i="2"/>
  <c r="H31" i="10" s="1"/>
  <c r="H28" i="2"/>
  <c r="H8" i="3" l="1"/>
  <c r="I9" i="2"/>
  <c r="I8" i="10"/>
  <c r="G4" i="7"/>
  <c r="H14" i="4"/>
  <c r="H30" i="2"/>
  <c r="H13" i="4"/>
  <c r="G5" i="7"/>
  <c r="H18" i="3"/>
  <c r="H7" i="4"/>
  <c r="H8" i="4" s="1"/>
  <c r="G6" i="7"/>
  <c r="H11" i="6"/>
  <c r="H12" i="6" s="1"/>
  <c r="H9" i="3"/>
  <c r="G7" i="7" s="1"/>
  <c r="H16" i="3"/>
  <c r="I15" i="10" l="1"/>
  <c r="I11" i="2"/>
  <c r="I9" i="10"/>
  <c r="H21" i="4"/>
  <c r="H22" i="4" s="1"/>
  <c r="G10" i="7" s="1"/>
  <c r="H16" i="4"/>
  <c r="H6" i="6"/>
  <c r="H17" i="3"/>
  <c r="I13" i="2" l="1"/>
  <c r="I12" i="2"/>
  <c r="I14" i="2"/>
  <c r="I22" i="10"/>
  <c r="I21" i="10"/>
  <c r="I27" i="10"/>
  <c r="I19" i="10"/>
  <c r="I23" i="10"/>
  <c r="H18" i="4"/>
  <c r="H20" i="4" s="1"/>
  <c r="H7" i="6" s="1"/>
  <c r="H16" i="6" s="1"/>
  <c r="H10" i="10"/>
  <c r="H23" i="4"/>
  <c r="H15" i="6"/>
  <c r="I18" i="2" l="1"/>
  <c r="I15" i="2"/>
  <c r="I11" i="3"/>
  <c r="H20" i="10"/>
  <c r="H32" i="10"/>
  <c r="H26" i="10"/>
  <c r="H8" i="6"/>
  <c r="H17" i="6"/>
  <c r="H18" i="6" s="1"/>
  <c r="I14" i="6" s="1"/>
  <c r="G9" i="7"/>
  <c r="H24" i="4"/>
  <c r="I6" i="4" l="1"/>
  <c r="I19" i="2"/>
  <c r="I20" i="2"/>
  <c r="H28" i="10"/>
  <c r="H34" i="10"/>
  <c r="H33" i="10"/>
  <c r="G8" i="7"/>
  <c r="H20" i="6"/>
  <c r="H21" i="6"/>
  <c r="I24" i="2" l="1"/>
  <c r="I25" i="2" s="1"/>
  <c r="I13" i="3" s="1"/>
  <c r="I14" i="3" s="1"/>
  <c r="I21" i="2"/>
  <c r="I12" i="3"/>
  <c r="I26" i="2" l="1"/>
  <c r="J23" i="2" s="1"/>
  <c r="J17" i="2"/>
  <c r="I6" i="3"/>
  <c r="I19" i="3"/>
  <c r="H11" i="7" s="1"/>
  <c r="I7" i="3"/>
  <c r="I8" i="3" s="1"/>
  <c r="H6" i="7" s="1"/>
  <c r="I28" i="2"/>
  <c r="I29" i="2"/>
  <c r="J8" i="2" l="1"/>
  <c r="I18" i="3"/>
  <c r="I31" i="10"/>
  <c r="J9" i="2"/>
  <c r="J8" i="10"/>
  <c r="I11" i="6"/>
  <c r="I12" i="6" s="1"/>
  <c r="I16" i="3"/>
  <c r="I16" i="4" s="1"/>
  <c r="I10" i="10" s="1"/>
  <c r="I9" i="3"/>
  <c r="H7" i="7" s="1"/>
  <c r="I7" i="4"/>
  <c r="I8" i="4" s="1"/>
  <c r="H5" i="7"/>
  <c r="I14" i="4"/>
  <c r="I30" i="2"/>
  <c r="H4" i="7"/>
  <c r="I13" i="4"/>
  <c r="I21" i="4" l="1"/>
  <c r="I22" i="4" s="1"/>
  <c r="H10" i="7" s="1"/>
  <c r="I17" i="3"/>
  <c r="I6" i="6"/>
  <c r="J15" i="10"/>
  <c r="J11" i="2"/>
  <c r="J9" i="10"/>
  <c r="I20" i="10"/>
  <c r="I32" i="10"/>
  <c r="I26" i="10"/>
  <c r="I18" i="4"/>
  <c r="I20" i="4" s="1"/>
  <c r="I7" i="6" s="1"/>
  <c r="I16" i="6" s="1"/>
  <c r="I15" i="6"/>
  <c r="J22" i="10" l="1"/>
  <c r="J21" i="10"/>
  <c r="J27" i="10"/>
  <c r="J14" i="2"/>
  <c r="J12" i="2"/>
  <c r="J13" i="2"/>
  <c r="J19" i="10"/>
  <c r="J23" i="10"/>
  <c r="I28" i="10"/>
  <c r="I34" i="10"/>
  <c r="I33" i="10"/>
  <c r="I23" i="4"/>
  <c r="H9" i="7" s="1"/>
  <c r="I17" i="6"/>
  <c r="I18" i="6" s="1"/>
  <c r="J14" i="6" s="1"/>
  <c r="I8" i="6"/>
  <c r="J11" i="3" l="1"/>
  <c r="J15" i="2"/>
  <c r="J18" i="2"/>
  <c r="I20" i="6"/>
  <c r="I21" i="6"/>
  <c r="I24" i="4"/>
  <c r="H8" i="7"/>
  <c r="J6" i="4" l="1"/>
  <c r="J19" i="2"/>
  <c r="J20" i="2"/>
  <c r="J21" i="2" l="1"/>
  <c r="J12" i="3"/>
  <c r="J24" i="2"/>
  <c r="J25" i="2" l="1"/>
  <c r="J13" i="3" s="1"/>
  <c r="J14" i="3" s="1"/>
  <c r="J6" i="3"/>
  <c r="K17" i="2"/>
  <c r="J19" i="3" l="1"/>
  <c r="I11" i="7" s="1"/>
  <c r="J26" i="2"/>
  <c r="K8" i="2" s="1"/>
  <c r="K23" i="2"/>
  <c r="J28" i="2"/>
  <c r="J29" i="2"/>
  <c r="J7" i="3"/>
  <c r="J8" i="3" s="1"/>
  <c r="K9" i="2" l="1"/>
  <c r="K8" i="10"/>
  <c r="I4" i="7"/>
  <c r="J14" i="4"/>
  <c r="J13" i="4"/>
  <c r="J30" i="2"/>
  <c r="I6" i="7"/>
  <c r="J16" i="3"/>
  <c r="J11" i="6"/>
  <c r="J12" i="6" s="1"/>
  <c r="J9" i="3"/>
  <c r="I7" i="7" s="1"/>
  <c r="J31" i="10"/>
  <c r="I5" i="7"/>
  <c r="J7" i="4"/>
  <c r="J8" i="4" s="1"/>
  <c r="J18" i="3"/>
  <c r="J6" i="6" l="1"/>
  <c r="J16" i="4"/>
  <c r="J10" i="10" s="1"/>
  <c r="J21" i="4"/>
  <c r="J22" i="4" s="1"/>
  <c r="I10" i="7" s="1"/>
  <c r="J17" i="3"/>
  <c r="K15" i="10"/>
  <c r="K11" i="2"/>
  <c r="K9" i="10"/>
  <c r="J18" i="4" l="1"/>
  <c r="J20" i="4" s="1"/>
  <c r="J7" i="6" s="1"/>
  <c r="J16" i="6" s="1"/>
  <c r="K22" i="10"/>
  <c r="K21" i="10"/>
  <c r="K27" i="10"/>
  <c r="K14" i="2"/>
  <c r="K12" i="2"/>
  <c r="K13" i="2"/>
  <c r="K19" i="10"/>
  <c r="K23" i="10"/>
  <c r="J26" i="10"/>
  <c r="J28" i="10" s="1"/>
  <c r="J20" i="10"/>
  <c r="J15" i="6"/>
  <c r="J17" i="6" s="1"/>
  <c r="J18" i="6" s="1"/>
  <c r="J8" i="6"/>
  <c r="J32" i="10"/>
  <c r="J23" i="4" l="1"/>
  <c r="K15" i="2"/>
  <c r="K18" i="2"/>
  <c r="K11" i="3"/>
  <c r="J21" i="6"/>
  <c r="J20" i="6"/>
  <c r="I8" i="7"/>
  <c r="K14" i="6"/>
  <c r="J33" i="10"/>
  <c r="J34" i="10"/>
  <c r="I9" i="7" l="1"/>
  <c r="J24" i="4"/>
  <c r="K20" i="2"/>
  <c r="K19" i="2"/>
  <c r="K21" i="2" s="1"/>
  <c r="K6" i="4"/>
  <c r="L17" i="2" l="1"/>
  <c r="K6" i="3"/>
  <c r="K12" i="3"/>
  <c r="K24" i="2"/>
  <c r="K25" i="2" l="1"/>
  <c r="K13" i="3" s="1"/>
  <c r="K19" i="3" s="1"/>
  <c r="J11" i="7" s="1"/>
  <c r="K26" i="2"/>
  <c r="L8" i="2" s="1"/>
  <c r="K7" i="3" l="1"/>
  <c r="K8" i="3" s="1"/>
  <c r="L23" i="2"/>
  <c r="K28" i="2"/>
  <c r="K29" i="2"/>
  <c r="K14" i="3"/>
  <c r="K31" i="10" l="1"/>
  <c r="J5" i="7"/>
  <c r="K18" i="3"/>
  <c r="K7" i="4"/>
  <c r="K8" i="4" s="1"/>
  <c r="L9" i="2"/>
  <c r="L8" i="10"/>
  <c r="K14" i="4"/>
  <c r="K13" i="4"/>
  <c r="J4" i="7"/>
  <c r="K30" i="2"/>
  <c r="K9" i="3"/>
  <c r="J7" i="7" s="1"/>
  <c r="J6" i="7"/>
  <c r="K16" i="3"/>
  <c r="K11" i="6"/>
  <c r="K12" i="6" s="1"/>
  <c r="L15" i="10" l="1"/>
  <c r="L11" i="2"/>
  <c r="L9" i="10"/>
  <c r="K6" i="6"/>
  <c r="K17" i="3"/>
  <c r="K21" i="4"/>
  <c r="K22" i="4" s="1"/>
  <c r="J10" i="7" s="1"/>
  <c r="K16" i="4"/>
  <c r="K10" i="10" s="1"/>
  <c r="L21" i="10" l="1"/>
  <c r="L22" i="10"/>
  <c r="L27" i="10"/>
  <c r="L12" i="2"/>
  <c r="L13" i="2"/>
  <c r="L14" i="2"/>
  <c r="K20" i="10"/>
  <c r="K26" i="10"/>
  <c r="K28" i="10" s="1"/>
  <c r="K15" i="6"/>
  <c r="K18" i="4"/>
  <c r="K20" i="4" s="1"/>
  <c r="L19" i="10"/>
  <c r="L23" i="10"/>
  <c r="K32" i="10"/>
  <c r="K7" i="6" l="1"/>
  <c r="K23" i="4"/>
  <c r="L15" i="2"/>
  <c r="L11" i="3"/>
  <c r="L18" i="2"/>
  <c r="K34" i="10"/>
  <c r="K33" i="10"/>
  <c r="L19" i="2" l="1"/>
  <c r="L21" i="2" s="1"/>
  <c r="L20" i="2"/>
  <c r="L6" i="4"/>
  <c r="J9" i="7"/>
  <c r="K24" i="4"/>
  <c r="K16" i="6"/>
  <c r="K17" i="6" s="1"/>
  <c r="K18" i="6" s="1"/>
  <c r="K8" i="6"/>
  <c r="K20" i="6" l="1"/>
  <c r="K21" i="6"/>
  <c r="L14" i="6"/>
  <c r="J8" i="7"/>
  <c r="M17" i="2"/>
  <c r="L6" i="3"/>
  <c r="L12" i="3"/>
  <c r="L24" i="2"/>
  <c r="L25" i="2" l="1"/>
  <c r="L13" i="3" s="1"/>
  <c r="L19" i="3" s="1"/>
  <c r="K11" i="7" s="1"/>
  <c r="L26" i="2"/>
  <c r="M8" i="2" s="1"/>
  <c r="L7" i="3" l="1"/>
  <c r="L8" i="3" s="1"/>
  <c r="M23" i="2"/>
  <c r="L28" i="2"/>
  <c r="L29" i="2"/>
  <c r="L14" i="3"/>
  <c r="M9" i="2" l="1"/>
  <c r="M8" i="10"/>
  <c r="L31" i="10"/>
  <c r="K5" i="7"/>
  <c r="L7" i="4"/>
  <c r="L8" i="4" s="1"/>
  <c r="L18" i="3"/>
  <c r="L14" i="4"/>
  <c r="L30" i="2"/>
  <c r="L13" i="4"/>
  <c r="K4" i="7"/>
  <c r="L16" i="3"/>
  <c r="L9" i="3"/>
  <c r="K7" i="7" s="1"/>
  <c r="K6" i="7"/>
  <c r="L11" i="6"/>
  <c r="L12" i="6" s="1"/>
  <c r="M15" i="10" l="1"/>
  <c r="L6" i="6"/>
  <c r="L21" i="4"/>
  <c r="L22" i="4" s="1"/>
  <c r="K10" i="7" s="1"/>
  <c r="L17" i="3"/>
  <c r="L16" i="4"/>
  <c r="L10" i="10" s="1"/>
  <c r="M11" i="2"/>
  <c r="M9" i="10"/>
  <c r="M19" i="10" s="1"/>
  <c r="M23" i="10" l="1"/>
  <c r="M13" i="2"/>
  <c r="M14" i="2"/>
  <c r="M12" i="2"/>
  <c r="M15" i="2" s="1"/>
  <c r="L26" i="10"/>
  <c r="L28" i="10" s="1"/>
  <c r="L20" i="10"/>
  <c r="L15" i="6"/>
  <c r="L32" i="10"/>
  <c r="M21" i="10"/>
  <c r="M22" i="10"/>
  <c r="M27" i="10"/>
  <c r="L18" i="4"/>
  <c r="L20" i="4" s="1"/>
  <c r="L33" i="10" l="1"/>
  <c r="L34" i="10"/>
  <c r="M11" i="3"/>
  <c r="M18" i="2"/>
  <c r="L7" i="6"/>
  <c r="L23" i="4"/>
  <c r="M6" i="4"/>
  <c r="K9" i="7" l="1"/>
  <c r="L24" i="4"/>
  <c r="M20" i="2"/>
  <c r="M19" i="2"/>
  <c r="L16" i="6"/>
  <c r="L17" i="6" s="1"/>
  <c r="L18" i="6" s="1"/>
  <c r="L8" i="6"/>
  <c r="L21" i="6" s="1"/>
  <c r="M21" i="2" l="1"/>
  <c r="M6" i="3"/>
  <c r="N17" i="2"/>
  <c r="L20" i="6"/>
  <c r="K8" i="7"/>
  <c r="M14" i="6"/>
  <c r="M12" i="3"/>
  <c r="M24" i="2"/>
  <c r="M25" i="2" l="1"/>
  <c r="M13" i="3" s="1"/>
  <c r="M19" i="3" s="1"/>
  <c r="L11" i="7" s="1"/>
  <c r="M26" i="2" l="1"/>
  <c r="N8" i="2" s="1"/>
  <c r="M14" i="3"/>
  <c r="N23" i="2" l="1"/>
  <c r="M7" i="3"/>
  <c r="M8" i="3" s="1"/>
  <c r="M29" i="2"/>
  <c r="M28" i="2"/>
  <c r="M14" i="4" l="1"/>
  <c r="L4" i="7"/>
  <c r="M13" i="4"/>
  <c r="M30" i="2"/>
  <c r="N9" i="2"/>
  <c r="N8" i="10"/>
  <c r="M31" i="10"/>
  <c r="M18" i="3"/>
  <c r="L5" i="7"/>
  <c r="M7" i="4"/>
  <c r="M8" i="4" s="1"/>
  <c r="M16" i="3"/>
  <c r="L6" i="7"/>
  <c r="M11" i="6"/>
  <c r="M12" i="6" s="1"/>
  <c r="M9" i="3"/>
  <c r="L7" i="7" s="1"/>
  <c r="M16" i="4" l="1"/>
  <c r="M10" i="10" s="1"/>
  <c r="M21" i="4"/>
  <c r="M22" i="4" s="1"/>
  <c r="L10" i="7" s="1"/>
  <c r="M6" i="6"/>
  <c r="M17" i="3"/>
  <c r="M18" i="4"/>
  <c r="M20" i="4" s="1"/>
  <c r="M7" i="6" s="1"/>
  <c r="M16" i="6" s="1"/>
  <c r="N15" i="10"/>
  <c r="N11" i="2"/>
  <c r="N9" i="10"/>
  <c r="N19" i="10" s="1"/>
  <c r="M32" i="10"/>
  <c r="N23" i="10" l="1"/>
  <c r="M23" i="4"/>
  <c r="N14" i="2"/>
  <c r="N12" i="2"/>
  <c r="N13" i="2"/>
  <c r="N15" i="2"/>
  <c r="M15" i="6"/>
  <c r="M17" i="6" s="1"/>
  <c r="M18" i="6" s="1"/>
  <c r="M8" i="6"/>
  <c r="N22" i="10"/>
  <c r="N21" i="10"/>
  <c r="N27" i="10"/>
  <c r="M20" i="10"/>
  <c r="M26" i="10"/>
  <c r="M20" i="6" l="1"/>
  <c r="M21" i="6"/>
  <c r="N6" i="4"/>
  <c r="M34" i="10"/>
  <c r="M33" i="10"/>
  <c r="L8" i="7"/>
  <c r="N14" i="6"/>
  <c r="N18" i="2"/>
  <c r="N11" i="3"/>
  <c r="M28" i="10"/>
  <c r="L9" i="7"/>
  <c r="M24" i="4"/>
  <c r="N19" i="2" l="1"/>
  <c r="N20" i="2"/>
  <c r="N21" i="2"/>
  <c r="O17" i="2" l="1"/>
  <c r="N6" i="3"/>
  <c r="N12" i="3"/>
  <c r="N24" i="2"/>
  <c r="N25" i="2" l="1"/>
  <c r="N13" i="3" s="1"/>
  <c r="N19" i="3" s="1"/>
  <c r="N14" i="3" l="1"/>
  <c r="B36" i="5"/>
  <c r="M11" i="7"/>
  <c r="N26" i="2"/>
  <c r="O8" i="2" s="1"/>
  <c r="N7" i="3" l="1"/>
  <c r="N8" i="3" s="1"/>
  <c r="O23" i="2"/>
  <c r="N29" i="2"/>
  <c r="N28" i="2"/>
  <c r="O9" i="2" l="1"/>
  <c r="O8" i="10"/>
  <c r="M4" i="7"/>
  <c r="N14" i="4"/>
  <c r="N13" i="4"/>
  <c r="B29" i="5"/>
  <c r="N30" i="2"/>
  <c r="B31" i="5" s="1"/>
  <c r="N31" i="10"/>
  <c r="B30" i="5"/>
  <c r="N7" i="4"/>
  <c r="N8" i="4" s="1"/>
  <c r="N18" i="3"/>
  <c r="M5" i="7"/>
  <c r="B32" i="5"/>
  <c r="N16" i="3"/>
  <c r="M6" i="7"/>
  <c r="N11" i="6"/>
  <c r="N12" i="6" s="1"/>
  <c r="N9" i="3"/>
  <c r="M7" i="7" l="1"/>
  <c r="B33" i="5"/>
  <c r="N16" i="4"/>
  <c r="N10" i="10" s="1"/>
  <c r="N32" i="10" s="1"/>
  <c r="N6" i="6"/>
  <c r="N21" i="4"/>
  <c r="N22" i="4" s="1"/>
  <c r="B41" i="8"/>
  <c r="N17" i="3"/>
  <c r="O15" i="10"/>
  <c r="O11" i="2"/>
  <c r="O9" i="10"/>
  <c r="O23" i="10" s="1"/>
  <c r="N18" i="4" l="1"/>
  <c r="N20" i="4" s="1"/>
  <c r="N7" i="6" s="1"/>
  <c r="N16" i="6" s="1"/>
  <c r="N23" i="4"/>
  <c r="O22" i="10"/>
  <c r="O21" i="10"/>
  <c r="O27" i="10"/>
  <c r="N20" i="10"/>
  <c r="N26" i="10"/>
  <c r="O12" i="2"/>
  <c r="O13" i="2"/>
  <c r="O14" i="2"/>
  <c r="O15" i="2"/>
  <c r="B34" i="5"/>
  <c r="M10" i="7"/>
  <c r="B23" i="8"/>
  <c r="B6" i="8"/>
  <c r="N15" i="6"/>
  <c r="N17" i="6" s="1"/>
  <c r="N18" i="6" s="1"/>
  <c r="N8" i="6"/>
  <c r="O19" i="10"/>
  <c r="N20" i="6" l="1"/>
  <c r="N21" i="6"/>
  <c r="O6" i="4"/>
  <c r="O11" i="3"/>
  <c r="O18" i="2"/>
  <c r="N28" i="10"/>
  <c r="N34" i="10"/>
  <c r="N33" i="10"/>
  <c r="M8" i="7"/>
  <c r="O14" i="6"/>
  <c r="M9" i="7"/>
  <c r="N24" i="4"/>
  <c r="B35" i="5" s="1"/>
  <c r="O19" i="2" l="1"/>
  <c r="O20" i="2"/>
  <c r="O21" i="2" s="1"/>
  <c r="P17" i="2" l="1"/>
  <c r="O6" i="3"/>
  <c r="O12" i="3"/>
  <c r="O24" i="2"/>
  <c r="O25" i="2" l="1"/>
  <c r="O13" i="3" s="1"/>
  <c r="O14" i="3" s="1"/>
  <c r="O19" i="3" l="1"/>
  <c r="N11" i="7" s="1"/>
  <c r="O26" i="2"/>
  <c r="P8" i="2" s="1"/>
  <c r="O7" i="3"/>
  <c r="O8" i="3" s="1"/>
  <c r="P23" i="2"/>
  <c r="O29" i="2"/>
  <c r="O28" i="2"/>
  <c r="O13" i="4" l="1"/>
  <c r="O30" i="2"/>
  <c r="N4" i="7"/>
  <c r="O14" i="4"/>
  <c r="P9" i="2"/>
  <c r="P8" i="10"/>
  <c r="O31" i="10"/>
  <c r="N5" i="7"/>
  <c r="O7" i="4"/>
  <c r="O8" i="4" s="1"/>
  <c r="O18" i="3"/>
  <c r="N6" i="7"/>
  <c r="O11" i="6"/>
  <c r="O12" i="6" s="1"/>
  <c r="O16" i="3"/>
  <c r="O9" i="3"/>
  <c r="N7" i="7" s="1"/>
  <c r="P15" i="10" l="1"/>
  <c r="P11" i="2"/>
  <c r="P9" i="10"/>
  <c r="O6" i="6"/>
  <c r="O21" i="4"/>
  <c r="O22" i="4" s="1"/>
  <c r="N10" i="7" s="1"/>
  <c r="O16" i="4"/>
  <c r="O10" i="10" s="1"/>
  <c r="O17" i="3"/>
  <c r="O20" i="10" l="1"/>
  <c r="O26" i="10"/>
  <c r="O15" i="6"/>
  <c r="P22" i="10"/>
  <c r="P21" i="10"/>
  <c r="P27" i="10"/>
  <c r="P14" i="2"/>
  <c r="P12" i="2"/>
  <c r="P13" i="2"/>
  <c r="P15" i="2" s="1"/>
  <c r="P19" i="10"/>
  <c r="P23" i="10"/>
  <c r="O18" i="4"/>
  <c r="O20" i="4" s="1"/>
  <c r="O32" i="10"/>
  <c r="P6" i="4" l="1"/>
  <c r="P18" i="2"/>
  <c r="P11" i="3"/>
  <c r="O7" i="6"/>
  <c r="O23" i="4"/>
  <c r="O28" i="10"/>
  <c r="O34" i="10"/>
  <c r="O33" i="10"/>
  <c r="N9" i="7" l="1"/>
  <c r="O24" i="4"/>
  <c r="O16" i="6"/>
  <c r="O17" i="6" s="1"/>
  <c r="O18" i="6" s="1"/>
  <c r="O8" i="6"/>
  <c r="P20" i="2"/>
  <c r="P19" i="2"/>
  <c r="P12" i="3" l="1"/>
  <c r="P24" i="2"/>
  <c r="O20" i="6"/>
  <c r="O21" i="6"/>
  <c r="P21" i="2"/>
  <c r="P14" i="6"/>
  <c r="N8" i="7"/>
  <c r="Q17" i="2" l="1"/>
  <c r="P6" i="3"/>
  <c r="P25" i="2"/>
  <c r="P13" i="3" s="1"/>
  <c r="P14" i="3" s="1"/>
  <c r="P19" i="3"/>
  <c r="O11" i="7" s="1"/>
  <c r="P26" i="2" l="1"/>
  <c r="Q8" i="2" s="1"/>
  <c r="P7" i="3"/>
  <c r="P8" i="3" s="1"/>
  <c r="Q23" i="2"/>
  <c r="P28" i="2"/>
  <c r="P29" i="2"/>
  <c r="O4" i="7" l="1"/>
  <c r="P13" i="4"/>
  <c r="P14" i="4"/>
  <c r="P30" i="2"/>
  <c r="P31" i="10"/>
  <c r="O5" i="7"/>
  <c r="P7" i="4"/>
  <c r="P8" i="4" s="1"/>
  <c r="P18" i="3"/>
  <c r="Q9" i="2"/>
  <c r="Q8" i="10"/>
  <c r="P9" i="3"/>
  <c r="O7" i="7" s="1"/>
  <c r="O6" i="7"/>
  <c r="P11" i="6"/>
  <c r="P12" i="6" s="1"/>
  <c r="P16" i="3"/>
  <c r="Q15" i="10" l="1"/>
  <c r="Q11" i="2"/>
  <c r="Q9" i="10"/>
  <c r="P6" i="6"/>
  <c r="P16" i="4"/>
  <c r="P10" i="10" s="1"/>
  <c r="P21" i="4"/>
  <c r="P22" i="4" s="1"/>
  <c r="O10" i="7" s="1"/>
  <c r="P17" i="3"/>
  <c r="P18" i="4"/>
  <c r="P20" i="4" s="1"/>
  <c r="P23" i="4" l="1"/>
  <c r="P7" i="6"/>
  <c r="P16" i="6" s="1"/>
  <c r="P20" i="10"/>
  <c r="P26" i="10"/>
  <c r="P15" i="6"/>
  <c r="P17" i="6" s="1"/>
  <c r="P18" i="6" s="1"/>
  <c r="P32" i="10"/>
  <c r="Q22" i="10"/>
  <c r="Q21" i="10"/>
  <c r="Q27" i="10"/>
  <c r="Q14" i="2"/>
  <c r="Q12" i="2"/>
  <c r="Q13" i="2"/>
  <c r="Q19" i="10"/>
  <c r="Q23" i="10"/>
  <c r="P8" i="6" l="1"/>
  <c r="Q15" i="2"/>
  <c r="Q6" i="4"/>
  <c r="O8" i="7"/>
  <c r="Q14" i="6"/>
  <c r="P20" i="6"/>
  <c r="P21" i="6"/>
  <c r="P28" i="10"/>
  <c r="P33" i="10"/>
  <c r="P34" i="10"/>
  <c r="Q11" i="3"/>
  <c r="Q18" i="2"/>
  <c r="O9" i="7"/>
  <c r="P24" i="4"/>
  <c r="Q19" i="2" l="1"/>
  <c r="Q20" i="2"/>
  <c r="Q21" i="2" s="1"/>
  <c r="R17" i="2" l="1"/>
  <c r="Q6" i="3"/>
  <c r="Q12" i="3"/>
  <c r="Q24" i="2"/>
  <c r="Q25" i="2" l="1"/>
  <c r="Q13" i="3" s="1"/>
  <c r="Q14" i="3" s="1"/>
  <c r="Q19" i="3" l="1"/>
  <c r="P11" i="7" s="1"/>
  <c r="Q26" i="2"/>
  <c r="R8" i="2" s="1"/>
  <c r="Q7" i="3" l="1"/>
  <c r="Q8" i="3" s="1"/>
  <c r="R23" i="2"/>
  <c r="Q29" i="2"/>
  <c r="Q28" i="2"/>
  <c r="R9" i="2" l="1"/>
  <c r="R8" i="10"/>
  <c r="P4" i="7"/>
  <c r="Q13" i="4"/>
  <c r="Q14" i="4"/>
  <c r="Q30" i="2"/>
  <c r="Q31" i="10"/>
  <c r="P5" i="7"/>
  <c r="Q18" i="3"/>
  <c r="Q7" i="4"/>
  <c r="Q8" i="4" s="1"/>
  <c r="Q11" i="6"/>
  <c r="Q12" i="6" s="1"/>
  <c r="Q9" i="3"/>
  <c r="P7" i="7" s="1"/>
  <c r="Q16" i="3"/>
  <c r="P6" i="7"/>
  <c r="R15" i="10" l="1"/>
  <c r="Q6" i="6"/>
  <c r="Q21" i="4"/>
  <c r="Q22" i="4" s="1"/>
  <c r="P10" i="7" s="1"/>
  <c r="Q16" i="4"/>
  <c r="Q10" i="10" s="1"/>
  <c r="Q17" i="3"/>
  <c r="R11" i="2"/>
  <c r="R9" i="10"/>
  <c r="R23" i="10" s="1"/>
  <c r="R19" i="10" l="1"/>
  <c r="Q15" i="6"/>
  <c r="Q20" i="10"/>
  <c r="Q26" i="10"/>
  <c r="Q18" i="4"/>
  <c r="Q20" i="4" s="1"/>
  <c r="R12" i="2"/>
  <c r="R13" i="2"/>
  <c r="R14" i="2"/>
  <c r="R15" i="2" s="1"/>
  <c r="R22" i="10"/>
  <c r="R21" i="10"/>
  <c r="R27" i="10"/>
  <c r="Q32" i="10"/>
  <c r="R6" i="4" l="1"/>
  <c r="R18" i="2"/>
  <c r="R11" i="3"/>
  <c r="Q7" i="6"/>
  <c r="Q23" i="4"/>
  <c r="Q28" i="10"/>
  <c r="Q34" i="10"/>
  <c r="Q33" i="10"/>
  <c r="P9" i="7" l="1"/>
  <c r="Q24" i="4"/>
  <c r="Q16" i="6"/>
  <c r="Q17" i="6" s="1"/>
  <c r="Q18" i="6" s="1"/>
  <c r="Q8" i="6"/>
  <c r="R20" i="2"/>
  <c r="R19" i="2"/>
  <c r="R21" i="2" s="1"/>
  <c r="Q20" i="6" l="1"/>
  <c r="Q21" i="6"/>
  <c r="R6" i="3"/>
  <c r="S17" i="2"/>
  <c r="R12" i="3"/>
  <c r="R24" i="2"/>
  <c r="P8" i="7"/>
  <c r="R14" i="6"/>
  <c r="R25" i="2" l="1"/>
  <c r="R13" i="3" s="1"/>
  <c r="R19" i="3" s="1"/>
  <c r="Q11" i="7" s="1"/>
  <c r="R26" i="2"/>
  <c r="S8" i="2" s="1"/>
  <c r="R14" i="3"/>
  <c r="R7" i="3" l="1"/>
  <c r="R8" i="3" s="1"/>
  <c r="S23" i="2"/>
  <c r="R29" i="2"/>
  <c r="R28" i="2"/>
  <c r="S9" i="2" l="1"/>
  <c r="S8" i="10"/>
  <c r="Q4" i="7"/>
  <c r="R13" i="4"/>
  <c r="R14" i="4"/>
  <c r="R30" i="2"/>
  <c r="R31" i="10"/>
  <c r="Q5" i="7"/>
  <c r="R18" i="3"/>
  <c r="R7" i="4"/>
  <c r="R8" i="4" s="1"/>
  <c r="R9" i="3"/>
  <c r="Q7" i="7" s="1"/>
  <c r="R16" i="3"/>
  <c r="Q6" i="7"/>
  <c r="R11" i="6"/>
  <c r="R12" i="6" s="1"/>
  <c r="R6" i="6" l="1"/>
  <c r="R16" i="4"/>
  <c r="R10" i="10" s="1"/>
  <c r="R21" i="4"/>
  <c r="R22" i="4" s="1"/>
  <c r="Q10" i="7" s="1"/>
  <c r="R17" i="3"/>
  <c r="S15" i="10"/>
  <c r="S11" i="2"/>
  <c r="S9" i="10"/>
  <c r="S23" i="10" s="1"/>
  <c r="S19" i="10" l="1"/>
  <c r="S13" i="2"/>
  <c r="S14" i="2"/>
  <c r="S12" i="2"/>
  <c r="S15" i="2" s="1"/>
  <c r="R20" i="10"/>
  <c r="R26" i="10"/>
  <c r="R15" i="6"/>
  <c r="R32" i="10"/>
  <c r="S22" i="10"/>
  <c r="S21" i="10"/>
  <c r="S27" i="10"/>
  <c r="R18" i="4"/>
  <c r="R20" i="4" s="1"/>
  <c r="S6" i="4" l="1"/>
  <c r="R34" i="10"/>
  <c r="R33" i="10"/>
  <c r="R28" i="10"/>
  <c r="S11" i="3"/>
  <c r="S18" i="2"/>
  <c r="R7" i="6"/>
  <c r="R23" i="4"/>
  <c r="R16" i="6" l="1"/>
  <c r="R17" i="6" s="1"/>
  <c r="R18" i="6" s="1"/>
  <c r="R8" i="6"/>
  <c r="Q9" i="7"/>
  <c r="R24" i="4"/>
  <c r="S20" i="2"/>
  <c r="S19" i="2"/>
  <c r="S21" i="2" l="1"/>
  <c r="T17" i="2"/>
  <c r="S6" i="3"/>
  <c r="S12" i="3"/>
  <c r="S24" i="2"/>
  <c r="R20" i="6"/>
  <c r="R21" i="6"/>
  <c r="Q8" i="7"/>
  <c r="S14" i="6"/>
  <c r="S25" i="2" l="1"/>
  <c r="S13" i="3" s="1"/>
  <c r="S19" i="3" s="1"/>
  <c r="R11" i="7" s="1"/>
  <c r="S14" i="3" l="1"/>
  <c r="S26" i="2"/>
  <c r="T8" i="2" s="1"/>
  <c r="T23" i="2"/>
  <c r="S7" i="3"/>
  <c r="S8" i="3" s="1"/>
  <c r="S29" i="2"/>
  <c r="S28" i="2"/>
  <c r="S14" i="4" l="1"/>
  <c r="R4" i="7"/>
  <c r="S30" i="2"/>
  <c r="S13" i="4"/>
  <c r="T9" i="2"/>
  <c r="T8" i="10"/>
  <c r="S31" i="10"/>
  <c r="R5" i="7"/>
  <c r="S7" i="4"/>
  <c r="S8" i="4" s="1"/>
  <c r="S18" i="3"/>
  <c r="R6" i="7"/>
  <c r="S11" i="6"/>
  <c r="S12" i="6" s="1"/>
  <c r="S16" i="3"/>
  <c r="S9" i="3"/>
  <c r="R7" i="7" s="1"/>
  <c r="T15" i="10" l="1"/>
  <c r="T11" i="2"/>
  <c r="T9" i="10"/>
  <c r="S21" i="4"/>
  <c r="S22" i="4" s="1"/>
  <c r="R10" i="7" s="1"/>
  <c r="S6" i="6"/>
  <c r="S16" i="4"/>
  <c r="S10" i="10" s="1"/>
  <c r="S17" i="3"/>
  <c r="S20" i="10" l="1"/>
  <c r="S26" i="10"/>
  <c r="S15" i="6"/>
  <c r="T22" i="10"/>
  <c r="T21" i="10"/>
  <c r="T27" i="10"/>
  <c r="T14" i="2"/>
  <c r="T12" i="2"/>
  <c r="T13" i="2"/>
  <c r="T19" i="10"/>
  <c r="S18" i="4"/>
  <c r="S20" i="4" s="1"/>
  <c r="T23" i="10"/>
  <c r="S32" i="10"/>
  <c r="T15" i="2" l="1"/>
  <c r="T6" i="4"/>
  <c r="T11" i="3"/>
  <c r="T18" i="2"/>
  <c r="S28" i="10"/>
  <c r="S7" i="6"/>
  <c r="S23" i="4"/>
  <c r="S33" i="10"/>
  <c r="S34" i="10"/>
  <c r="R9" i="7" l="1"/>
  <c r="S24" i="4"/>
  <c r="S16" i="6"/>
  <c r="S17" i="6" s="1"/>
  <c r="S18" i="6" s="1"/>
  <c r="S8" i="6"/>
  <c r="T19" i="2"/>
  <c r="T20" i="2"/>
  <c r="T21" i="2" s="1"/>
  <c r="U17" i="2" l="1"/>
  <c r="T6" i="3"/>
  <c r="T12" i="3"/>
  <c r="T24" i="2"/>
  <c r="S20" i="6"/>
  <c r="S21" i="6"/>
  <c r="R8" i="7"/>
  <c r="T14" i="6"/>
  <c r="T25" i="2" l="1"/>
  <c r="T13" i="3" s="1"/>
  <c r="T19" i="3" s="1"/>
  <c r="S11" i="7" s="1"/>
  <c r="T26" i="2" l="1"/>
  <c r="U8" i="2" s="1"/>
  <c r="T14" i="3"/>
  <c r="U23" i="2" l="1"/>
  <c r="T7" i="3"/>
  <c r="T8" i="3" s="1"/>
  <c r="T29" i="2"/>
  <c r="T28" i="2"/>
  <c r="U9" i="2" l="1"/>
  <c r="U8" i="10"/>
  <c r="S4" i="7"/>
  <c r="T14" i="4"/>
  <c r="T30" i="2"/>
  <c r="T13" i="4"/>
  <c r="T31" i="10"/>
  <c r="T18" i="3"/>
  <c r="S5" i="7"/>
  <c r="T7" i="4"/>
  <c r="T8" i="4" s="1"/>
  <c r="T11" i="6"/>
  <c r="T12" i="6" s="1"/>
  <c r="T16" i="3"/>
  <c r="T9" i="3"/>
  <c r="S6" i="7"/>
  <c r="T6" i="6" l="1"/>
  <c r="T16" i="4"/>
  <c r="T10" i="10" s="1"/>
  <c r="T21" i="4"/>
  <c r="T22" i="4" s="1"/>
  <c r="T17" i="3"/>
  <c r="T32" i="10"/>
  <c r="U23" i="10"/>
  <c r="U19" i="10"/>
  <c r="U15" i="10"/>
  <c r="T18" i="4"/>
  <c r="T20" i="4" s="1"/>
  <c r="T7" i="6" s="1"/>
  <c r="T16" i="6" s="1"/>
  <c r="S7" i="7"/>
  <c r="B33" i="8"/>
  <c r="U11" i="2"/>
  <c r="U9" i="10"/>
  <c r="U22" i="10" l="1"/>
  <c r="U21" i="10"/>
  <c r="U27" i="10"/>
  <c r="U13" i="2"/>
  <c r="U12" i="2"/>
  <c r="U14" i="2"/>
  <c r="T23" i="4"/>
  <c r="B7" i="8"/>
  <c r="S10" i="7"/>
  <c r="T20" i="10"/>
  <c r="T26" i="10"/>
  <c r="T15" i="6"/>
  <c r="T17" i="6" s="1"/>
  <c r="T18" i="6" s="1"/>
  <c r="T8" i="6"/>
  <c r="U15" i="2" l="1"/>
  <c r="T33" i="10"/>
  <c r="T34" i="10"/>
  <c r="U6" i="4"/>
  <c r="U11" i="3"/>
  <c r="U18" i="2"/>
  <c r="T20" i="6"/>
  <c r="T21" i="6"/>
  <c r="S8" i="7"/>
  <c r="U14" i="6"/>
  <c r="S9" i="7"/>
  <c r="B34" i="8"/>
  <c r="T24" i="4"/>
  <c r="T28" i="10"/>
  <c r="U20" i="2" l="1"/>
  <c r="U19" i="2"/>
  <c r="U12" i="3" l="1"/>
  <c r="U24" i="2"/>
  <c r="U21" i="2"/>
  <c r="V17" i="2" l="1"/>
  <c r="U6" i="3"/>
  <c r="U25" i="2"/>
  <c r="U13" i="3" s="1"/>
  <c r="U14" i="3" s="1"/>
  <c r="U19" i="3" l="1"/>
  <c r="T11" i="7" s="1"/>
  <c r="U26" i="2"/>
  <c r="V8" i="2" s="1"/>
  <c r="V23" i="2"/>
  <c r="U7" i="3"/>
  <c r="U8" i="3" s="1"/>
  <c r="U28" i="2"/>
  <c r="U29" i="2"/>
  <c r="U31" i="10" l="1"/>
  <c r="T5" i="7"/>
  <c r="U18" i="3"/>
  <c r="U7" i="4"/>
  <c r="U8" i="4" s="1"/>
  <c r="V9" i="2"/>
  <c r="V8" i="10"/>
  <c r="U30" i="2"/>
  <c r="U14" i="4"/>
  <c r="T4" i="7"/>
  <c r="U13" i="4"/>
  <c r="T6" i="7"/>
  <c r="U11" i="6"/>
  <c r="U12" i="6" s="1"/>
  <c r="U9" i="3"/>
  <c r="T7" i="7" s="1"/>
  <c r="U16" i="3"/>
  <c r="V11" i="2" l="1"/>
  <c r="V9" i="10"/>
  <c r="V23" i="10" s="1"/>
  <c r="V15" i="10"/>
  <c r="U21" i="4"/>
  <c r="U22" i="4" s="1"/>
  <c r="T10" i="7" s="1"/>
  <c r="U16" i="4"/>
  <c r="U10" i="10" s="1"/>
  <c r="U6" i="6"/>
  <c r="U17" i="3"/>
  <c r="V19" i="10" l="1"/>
  <c r="U20" i="10"/>
  <c r="U26" i="10"/>
  <c r="U15" i="6"/>
  <c r="V13" i="2"/>
  <c r="V14" i="2"/>
  <c r="V12" i="2"/>
  <c r="V22" i="10"/>
  <c r="V21" i="10"/>
  <c r="V27" i="10"/>
  <c r="U32" i="10"/>
  <c r="U18" i="4"/>
  <c r="U20" i="4" s="1"/>
  <c r="V15" i="2" l="1"/>
  <c r="V6" i="4" s="1"/>
  <c r="U7" i="6"/>
  <c r="U23" i="4"/>
  <c r="V18" i="2"/>
  <c r="V11" i="3"/>
  <c r="U28" i="10"/>
  <c r="U34" i="10"/>
  <c r="U33" i="10"/>
  <c r="V20" i="2" l="1"/>
  <c r="V19" i="2"/>
  <c r="U16" i="6"/>
  <c r="U17" i="6" s="1"/>
  <c r="U18" i="6" s="1"/>
  <c r="U8" i="6"/>
  <c r="T9" i="7"/>
  <c r="U24" i="4"/>
  <c r="V14" i="6" l="1"/>
  <c r="T8" i="7"/>
  <c r="U20" i="6"/>
  <c r="U21" i="6"/>
  <c r="V12" i="3"/>
  <c r="V24" i="2"/>
  <c r="V21" i="2"/>
  <c r="W17" i="2" l="1"/>
  <c r="V6" i="3"/>
  <c r="V25" i="2"/>
  <c r="V13" i="3" s="1"/>
  <c r="V19" i="3" s="1"/>
  <c r="U11" i="7" s="1"/>
  <c r="V26" i="2" l="1"/>
  <c r="W8" i="2" s="1"/>
  <c r="V14" i="3"/>
  <c r="W23" i="2" l="1"/>
  <c r="V7" i="3"/>
  <c r="V8" i="3" s="1"/>
  <c r="V29" i="2"/>
  <c r="V28" i="2"/>
  <c r="V31" i="10" l="1"/>
  <c r="V7" i="4"/>
  <c r="V8" i="4" s="1"/>
  <c r="U5" i="7"/>
  <c r="V18" i="3"/>
  <c r="W9" i="2"/>
  <c r="W8" i="10"/>
  <c r="V16" i="3"/>
  <c r="U6" i="7"/>
  <c r="V11" i="6"/>
  <c r="V12" i="6" s="1"/>
  <c r="V9" i="3"/>
  <c r="U7" i="7" s="1"/>
  <c r="U4" i="7"/>
  <c r="V14" i="4"/>
  <c r="V30" i="2"/>
  <c r="V13" i="4"/>
  <c r="W11" i="2" l="1"/>
  <c r="W9" i="10"/>
  <c r="V16" i="4"/>
  <c r="V10" i="10" s="1"/>
  <c r="V32" i="10" s="1"/>
  <c r="V6" i="6"/>
  <c r="V21" i="4"/>
  <c r="V22" i="4" s="1"/>
  <c r="U10" i="7" s="1"/>
  <c r="V17" i="3"/>
  <c r="W19" i="10"/>
  <c r="W15" i="10"/>
  <c r="V18" i="4" l="1"/>
  <c r="V20" i="4" s="1"/>
  <c r="V20" i="10"/>
  <c r="V26" i="10"/>
  <c r="W23" i="10"/>
  <c r="W22" i="10"/>
  <c r="W21" i="10"/>
  <c r="W27" i="10"/>
  <c r="V15" i="6"/>
  <c r="W13" i="2"/>
  <c r="W14" i="2"/>
  <c r="W12" i="2"/>
  <c r="V28" i="10" l="1"/>
  <c r="V34" i="10"/>
  <c r="V33" i="10"/>
  <c r="W15" i="2"/>
  <c r="W18" i="2"/>
  <c r="W11" i="3"/>
  <c r="V7" i="6"/>
  <c r="V23" i="4"/>
  <c r="U9" i="7" l="1"/>
  <c r="V24" i="4"/>
  <c r="W19" i="2"/>
  <c r="W20" i="2"/>
  <c r="W21" i="2"/>
  <c r="W6" i="4"/>
  <c r="V16" i="6"/>
  <c r="V17" i="6" s="1"/>
  <c r="V18" i="6" s="1"/>
  <c r="V8" i="6"/>
  <c r="W14" i="6" l="1"/>
  <c r="U8" i="7"/>
  <c r="V20" i="6"/>
  <c r="V21" i="6"/>
  <c r="W6" i="3"/>
  <c r="X17" i="2"/>
  <c r="W12" i="3"/>
  <c r="W24" i="2"/>
  <c r="W25" i="2" l="1"/>
  <c r="W13" i="3" s="1"/>
  <c r="W19" i="3" s="1"/>
  <c r="V11" i="7" s="1"/>
  <c r="W26" i="2" l="1"/>
  <c r="X8" i="2" s="1"/>
  <c r="W14" i="3"/>
  <c r="W7" i="3" l="1"/>
  <c r="W8" i="3" s="1"/>
  <c r="X23" i="2"/>
  <c r="W28" i="2"/>
  <c r="W29" i="2"/>
  <c r="W31" i="10" l="1"/>
  <c r="W18" i="3"/>
  <c r="V5" i="7"/>
  <c r="W7" i="4"/>
  <c r="W8" i="4" s="1"/>
  <c r="V4" i="7"/>
  <c r="W13" i="4"/>
  <c r="W30" i="2"/>
  <c r="W14" i="4"/>
  <c r="X9" i="2"/>
  <c r="X8" i="10"/>
  <c r="V6" i="7"/>
  <c r="W11" i="6"/>
  <c r="W12" i="6" s="1"/>
  <c r="W9" i="3"/>
  <c r="V7" i="7" s="1"/>
  <c r="W16" i="3"/>
  <c r="X11" i="2" l="1"/>
  <c r="X9" i="10"/>
  <c r="X23" i="10" s="1"/>
  <c r="W16" i="4"/>
  <c r="W10" i="10" s="1"/>
  <c r="W21" i="4"/>
  <c r="W22" i="4" s="1"/>
  <c r="V10" i="7" s="1"/>
  <c r="W6" i="6"/>
  <c r="W17" i="3"/>
  <c r="X15" i="10"/>
  <c r="W20" i="10" l="1"/>
  <c r="W26" i="10"/>
  <c r="W18" i="4"/>
  <c r="W20" i="4" s="1"/>
  <c r="W15" i="6"/>
  <c r="W32" i="10"/>
  <c r="X22" i="10"/>
  <c r="X21" i="10"/>
  <c r="X27" i="10"/>
  <c r="X19" i="10"/>
  <c r="X13" i="2"/>
  <c r="X12" i="2"/>
  <c r="X14" i="2"/>
  <c r="W7" i="6" l="1"/>
  <c r="W23" i="4"/>
  <c r="W28" i="10"/>
  <c r="X15" i="2"/>
  <c r="X11" i="3"/>
  <c r="X18" i="2"/>
  <c r="W33" i="10"/>
  <c r="W34" i="10"/>
  <c r="V9" i="7" l="1"/>
  <c r="W24" i="4"/>
  <c r="X19" i="2"/>
  <c r="X20" i="2"/>
  <c r="X21" i="2" s="1"/>
  <c r="X6" i="4"/>
  <c r="W16" i="6"/>
  <c r="W17" i="6" s="1"/>
  <c r="W18" i="6" s="1"/>
  <c r="W8" i="6"/>
  <c r="X6" i="3" l="1"/>
  <c r="Y17" i="2"/>
  <c r="W20" i="6"/>
  <c r="W21" i="6"/>
  <c r="X14" i="6"/>
  <c r="V8" i="7"/>
  <c r="X12" i="3"/>
  <c r="X24" i="2"/>
  <c r="X25" i="2" l="1"/>
  <c r="X13" i="3" s="1"/>
  <c r="X19" i="3" s="1"/>
  <c r="W11" i="7" s="1"/>
  <c r="X14" i="3"/>
  <c r="X26" i="2" l="1"/>
  <c r="Y8" i="2" s="1"/>
  <c r="Y23" i="2" l="1"/>
  <c r="X7" i="3"/>
  <c r="X8" i="3" s="1"/>
  <c r="X28" i="2"/>
  <c r="X29" i="2"/>
  <c r="Y9" i="2" l="1"/>
  <c r="Y8" i="10"/>
  <c r="X31" i="10"/>
  <c r="W5" i="7"/>
  <c r="X18" i="3"/>
  <c r="X7" i="4"/>
  <c r="X8" i="4" s="1"/>
  <c r="X9" i="3"/>
  <c r="W7" i="7" s="1"/>
  <c r="W6" i="7"/>
  <c r="X16" i="3"/>
  <c r="X11" i="6"/>
  <c r="X12" i="6" s="1"/>
  <c r="X14" i="4"/>
  <c r="X13" i="4"/>
  <c r="X30" i="2"/>
  <c r="W4" i="7"/>
  <c r="X6" i="6" l="1"/>
  <c r="X21" i="4"/>
  <c r="X16" i="4"/>
  <c r="X10" i="10" s="1"/>
  <c r="X32" i="10" s="1"/>
  <c r="X22" i="4"/>
  <c r="W10" i="7" s="1"/>
  <c r="X17" i="3"/>
  <c r="Y15" i="10"/>
  <c r="Y11" i="2"/>
  <c r="Y9" i="10"/>
  <c r="Y23" i="10" s="1"/>
  <c r="Y19" i="10" l="1"/>
  <c r="X20" i="10"/>
  <c r="X26" i="10"/>
  <c r="Y21" i="10"/>
  <c r="Y22" i="10"/>
  <c r="Y27" i="10"/>
  <c r="Y12" i="2"/>
  <c r="Y14" i="2"/>
  <c r="Y13" i="2"/>
  <c r="X18" i="4"/>
  <c r="X20" i="4" s="1"/>
  <c r="X15" i="6"/>
  <c r="X28" i="10" l="1"/>
  <c r="Y11" i="3"/>
  <c r="Y18" i="2"/>
  <c r="X33" i="10"/>
  <c r="X34" i="10"/>
  <c r="X7" i="6"/>
  <c r="X23" i="4"/>
  <c r="Y15" i="2"/>
  <c r="W9" i="7" l="1"/>
  <c r="X24" i="4"/>
  <c r="Y6" i="4"/>
  <c r="X16" i="6"/>
  <c r="X17" i="6" s="1"/>
  <c r="X18" i="6" s="1"/>
  <c r="X8" i="6"/>
  <c r="Y19" i="2"/>
  <c r="Y20" i="2"/>
  <c r="Y21" i="2" s="1"/>
  <c r="Y6" i="3" l="1"/>
  <c r="Z17" i="2"/>
  <c r="W8" i="7"/>
  <c r="Y14" i="6"/>
  <c r="X20" i="6"/>
  <c r="X21" i="6"/>
  <c r="Y12" i="3"/>
  <c r="Y24" i="2"/>
  <c r="Y25" i="2" l="1"/>
  <c r="Y13" i="3" s="1"/>
  <c r="Y14" i="3" s="1"/>
  <c r="Y26" i="2"/>
  <c r="Z8" i="2" s="1"/>
  <c r="Z23" i="2" l="1"/>
  <c r="Y7" i="3"/>
  <c r="Y8" i="3" s="1"/>
  <c r="Y28" i="2"/>
  <c r="Y29" i="2"/>
  <c r="Y19" i="3"/>
  <c r="X11" i="7" s="1"/>
  <c r="Z9" i="2" l="1"/>
  <c r="Z8" i="10"/>
  <c r="Y11" i="6"/>
  <c r="Y12" i="6" s="1"/>
  <c r="X6" i="7"/>
  <c r="Y16" i="3"/>
  <c r="Y9" i="3"/>
  <c r="X7" i="7" s="1"/>
  <c r="Y31" i="10"/>
  <c r="Y18" i="3"/>
  <c r="Y7" i="4"/>
  <c r="Y8" i="4" s="1"/>
  <c r="X5" i="7"/>
  <c r="Y13" i="4"/>
  <c r="Y30" i="2"/>
  <c r="X4" i="7"/>
  <c r="Y14" i="4"/>
  <c r="Y21" i="4" l="1"/>
  <c r="Y22" i="4" s="1"/>
  <c r="X10" i="7" s="1"/>
  <c r="Y6" i="6"/>
  <c r="Y16" i="4"/>
  <c r="Y10" i="10" s="1"/>
  <c r="Y17" i="3"/>
  <c r="Z15" i="10"/>
  <c r="Z11" i="2"/>
  <c r="Z9" i="10"/>
  <c r="Z23" i="10" s="1"/>
  <c r="Z19" i="10" l="1"/>
  <c r="Y20" i="10"/>
  <c r="Y26" i="10"/>
  <c r="Z21" i="10"/>
  <c r="Z22" i="10"/>
  <c r="Z27" i="10"/>
  <c r="Y32" i="10"/>
  <c r="Y15" i="6"/>
  <c r="Z12" i="2"/>
  <c r="Z14" i="2"/>
  <c r="Z13" i="2"/>
  <c r="Y18" i="4"/>
  <c r="Y20" i="4" s="1"/>
  <c r="Y28" i="10" l="1"/>
  <c r="Y34" i="10"/>
  <c r="Y33" i="10"/>
  <c r="Z18" i="2"/>
  <c r="Z11" i="3"/>
  <c r="Y7" i="6"/>
  <c r="Y23" i="4"/>
  <c r="Z15" i="2"/>
  <c r="Z6" i="4" l="1"/>
  <c r="X9" i="7"/>
  <c r="Y24" i="4"/>
  <c r="Y16" i="6"/>
  <c r="Y17" i="6" s="1"/>
  <c r="Y18" i="6" s="1"/>
  <c r="Y8" i="6"/>
  <c r="Z19" i="2"/>
  <c r="Z20" i="2"/>
  <c r="Z21" i="2"/>
  <c r="Z14" i="6" l="1"/>
  <c r="X8" i="7"/>
  <c r="Z6" i="3"/>
  <c r="AA17" i="2"/>
  <c r="Z12" i="3"/>
  <c r="Z24" i="2"/>
  <c r="Y20" i="6"/>
  <c r="Y21" i="6"/>
  <c r="Z25" i="2" l="1"/>
  <c r="Z13" i="3" s="1"/>
  <c r="Z19" i="3" s="1"/>
  <c r="C36" i="5" l="1"/>
  <c r="Y11" i="7"/>
  <c r="Z14" i="3"/>
  <c r="Z26" i="2"/>
  <c r="AA8" i="2" s="1"/>
  <c r="AA23" i="2" l="1"/>
  <c r="Z7" i="3"/>
  <c r="Z8" i="3" s="1"/>
  <c r="Z29" i="2"/>
  <c r="Z28" i="2"/>
  <c r="Y4" i="7" l="1"/>
  <c r="Z14" i="4"/>
  <c r="Z13" i="4"/>
  <c r="Z30" i="2"/>
  <c r="C31" i="5" s="1"/>
  <c r="C29" i="5"/>
  <c r="AA9" i="2"/>
  <c r="AA8" i="10"/>
  <c r="Z31" i="10"/>
  <c r="Y5" i="7"/>
  <c r="Z18" i="3"/>
  <c r="C30" i="5"/>
  <c r="Z7" i="4"/>
  <c r="Z8" i="4" s="1"/>
  <c r="Y6" i="7"/>
  <c r="Z11" i="6"/>
  <c r="Z12" i="6" s="1"/>
  <c r="Z9" i="3"/>
  <c r="C32" i="5"/>
  <c r="Z16" i="3"/>
  <c r="AA15" i="10" l="1"/>
  <c r="AA11" i="2"/>
  <c r="AA9" i="10"/>
  <c r="AA19" i="10" s="1"/>
  <c r="C33" i="5"/>
  <c r="Y7" i="7"/>
  <c r="Z6" i="6"/>
  <c r="Z21" i="4"/>
  <c r="Z22" i="4" s="1"/>
  <c r="Z16" i="4"/>
  <c r="Z10" i="10" s="1"/>
  <c r="Z32" i="10" s="1"/>
  <c r="B42" i="8"/>
  <c r="Z17" i="3"/>
  <c r="Z15" i="6" l="1"/>
  <c r="C34" i="5"/>
  <c r="Y10" i="7"/>
  <c r="AA22" i="10"/>
  <c r="AA21" i="10"/>
  <c r="AA27" i="10"/>
  <c r="Z18" i="4"/>
  <c r="Z20" i="4" s="1"/>
  <c r="AA14" i="2"/>
  <c r="AA13" i="2"/>
  <c r="AA12" i="2"/>
  <c r="AA15" i="2" s="1"/>
  <c r="Z20" i="10"/>
  <c r="Z26" i="10"/>
  <c r="AA23" i="10"/>
  <c r="AA6" i="4" l="1"/>
  <c r="AA11" i="3"/>
  <c r="AA18" i="2"/>
  <c r="Z7" i="6"/>
  <c r="Z23" i="4"/>
  <c r="Z34" i="10"/>
  <c r="Z33" i="10"/>
  <c r="Z28" i="10"/>
  <c r="AA19" i="2" l="1"/>
  <c r="AA20" i="2"/>
  <c r="AA21" i="2" s="1"/>
  <c r="Y9" i="7"/>
  <c r="Z24" i="4"/>
  <c r="C35" i="5" s="1"/>
  <c r="Z16" i="6"/>
  <c r="Z17" i="6" s="1"/>
  <c r="Z18" i="6" s="1"/>
  <c r="Z8" i="6"/>
  <c r="Z20" i="6" l="1"/>
  <c r="Z21" i="6"/>
  <c r="AB17" i="2"/>
  <c r="AA6" i="3"/>
  <c r="Y8" i="7"/>
  <c r="AA14" i="6"/>
  <c r="AA12" i="3"/>
  <c r="AA24" i="2"/>
  <c r="AA25" i="2" l="1"/>
  <c r="AA13" i="3" s="1"/>
  <c r="AA19" i="3" s="1"/>
  <c r="Z11" i="7" s="1"/>
  <c r="AA26" i="2"/>
  <c r="AB8" i="2" s="1"/>
  <c r="AA7" i="3" l="1"/>
  <c r="AA8" i="3" s="1"/>
  <c r="AB23" i="2"/>
  <c r="AA29" i="2"/>
  <c r="AA28" i="2"/>
  <c r="AA14" i="3"/>
  <c r="AA31" i="10" l="1"/>
  <c r="AA18" i="3"/>
  <c r="Z5" i="7"/>
  <c r="AA7" i="4"/>
  <c r="AA8" i="4" s="1"/>
  <c r="AA14" i="4"/>
  <c r="AA13" i="4"/>
  <c r="Z4" i="7"/>
  <c r="AA30" i="2"/>
  <c r="AB9" i="2"/>
  <c r="AB8" i="10"/>
  <c r="Z6" i="7"/>
  <c r="AA9" i="3"/>
  <c r="Z7" i="7" s="1"/>
  <c r="AA16" i="3"/>
  <c r="AA11" i="6"/>
  <c r="AA12" i="6" s="1"/>
  <c r="AB15" i="10" l="1"/>
  <c r="AB11" i="2"/>
  <c r="AB9" i="10"/>
  <c r="AA16" i="4"/>
  <c r="AA10" i="10" s="1"/>
  <c r="AA6" i="6"/>
  <c r="AA21" i="4"/>
  <c r="AA22" i="4" s="1"/>
  <c r="Z10" i="7" s="1"/>
  <c r="AA17" i="3"/>
  <c r="AA15" i="6" l="1"/>
  <c r="AB22" i="10"/>
  <c r="AB21" i="10"/>
  <c r="AB27" i="10"/>
  <c r="AA20" i="10"/>
  <c r="AA26" i="10"/>
  <c r="AB12" i="2"/>
  <c r="AB13" i="2"/>
  <c r="AB14" i="2"/>
  <c r="AB19" i="10"/>
  <c r="AA18" i="4"/>
  <c r="AA20" i="4" s="1"/>
  <c r="AA32" i="10"/>
  <c r="AB23" i="10"/>
  <c r="AB15" i="2" l="1"/>
  <c r="AB6" i="4"/>
  <c r="AB11" i="3"/>
  <c r="AB18" i="2"/>
  <c r="AA28" i="10"/>
  <c r="AA34" i="10"/>
  <c r="AA33" i="10"/>
  <c r="AA7" i="6"/>
  <c r="AA23" i="4"/>
  <c r="AA16" i="6" l="1"/>
  <c r="AA17" i="6" s="1"/>
  <c r="AA18" i="6" s="1"/>
  <c r="AA8" i="6"/>
  <c r="AB19" i="2"/>
  <c r="AB20" i="2"/>
  <c r="Z9" i="7"/>
  <c r="AA24" i="4"/>
  <c r="AB12" i="3" l="1"/>
  <c r="AB24" i="2"/>
  <c r="AA20" i="6"/>
  <c r="AA21" i="6"/>
  <c r="AB21" i="2"/>
  <c r="Z8" i="7"/>
  <c r="AB14" i="6"/>
  <c r="AC17" i="2" l="1"/>
  <c r="AB6" i="3"/>
  <c r="AB25" i="2"/>
  <c r="AB13" i="3" s="1"/>
  <c r="AB19" i="3" s="1"/>
  <c r="AA11" i="7" s="1"/>
  <c r="AB14" i="3"/>
  <c r="AB26" i="2" l="1"/>
  <c r="AC8" i="2" s="1"/>
  <c r="AC23" i="2"/>
  <c r="AB7" i="3"/>
  <c r="AB8" i="3" s="1"/>
  <c r="AB28" i="2"/>
  <c r="AB29" i="2"/>
  <c r="AC9" i="2" l="1"/>
  <c r="AC8" i="10"/>
  <c r="AB11" i="6"/>
  <c r="AB12" i="6" s="1"/>
  <c r="AB9" i="3"/>
  <c r="AA7" i="7" s="1"/>
  <c r="AA6" i="7"/>
  <c r="AB16" i="3"/>
  <c r="AB31" i="10"/>
  <c r="AA5" i="7"/>
  <c r="AB18" i="3"/>
  <c r="AB7" i="4"/>
  <c r="AB8" i="4" s="1"/>
  <c r="AA4" i="7"/>
  <c r="AB14" i="4"/>
  <c r="AB13" i="4"/>
  <c r="AB30" i="2"/>
  <c r="AB21" i="4" l="1"/>
  <c r="AB22" i="4" s="1"/>
  <c r="AA10" i="7" s="1"/>
  <c r="AB6" i="6"/>
  <c r="AB16" i="4"/>
  <c r="AB10" i="10" s="1"/>
  <c r="AB17" i="3"/>
  <c r="AC15" i="10"/>
  <c r="AB18" i="4"/>
  <c r="AB20" i="4" s="1"/>
  <c r="AB7" i="6" s="1"/>
  <c r="AB16" i="6" s="1"/>
  <c r="AC11" i="2"/>
  <c r="AC9" i="10"/>
  <c r="AC19" i="10" s="1"/>
  <c r="AC23" i="10" l="1"/>
  <c r="AC14" i="2"/>
  <c r="AC13" i="2"/>
  <c r="AC12" i="2"/>
  <c r="AB15" i="6"/>
  <c r="AB17" i="6" s="1"/>
  <c r="AB18" i="6" s="1"/>
  <c r="AB8" i="6"/>
  <c r="AB23" i="4"/>
  <c r="AB20" i="10"/>
  <c r="AB26" i="10"/>
  <c r="AC22" i="10"/>
  <c r="AC21" i="10"/>
  <c r="AC27" i="10"/>
  <c r="AB32" i="10"/>
  <c r="AC15" i="2" l="1"/>
  <c r="AC6" i="4"/>
  <c r="AB34" i="10"/>
  <c r="AB33" i="10"/>
  <c r="AA9" i="7"/>
  <c r="AB24" i="4"/>
  <c r="AB20" i="6"/>
  <c r="AB21" i="6"/>
  <c r="AC14" i="6"/>
  <c r="AA8" i="7"/>
  <c r="AC11" i="3"/>
  <c r="AC18" i="2"/>
  <c r="AB28" i="10"/>
  <c r="AC19" i="2" l="1"/>
  <c r="AC20" i="2"/>
  <c r="AC12" i="3" l="1"/>
  <c r="AC24" i="2"/>
  <c r="AC21" i="2"/>
  <c r="AC6" i="3" l="1"/>
  <c r="AD17" i="2"/>
  <c r="AC25" i="2"/>
  <c r="AC13" i="3" s="1"/>
  <c r="AC19" i="3" s="1"/>
  <c r="AB11" i="7" s="1"/>
  <c r="AC14" i="3" l="1"/>
  <c r="AC26" i="2"/>
  <c r="AC28" i="2"/>
  <c r="AC29" i="2" l="1"/>
  <c r="AD8" i="2"/>
  <c r="AD23" i="2"/>
  <c r="AC7" i="3"/>
  <c r="AC8" i="3" s="1"/>
  <c r="AC18" i="3" s="1"/>
  <c r="AC30" i="2"/>
  <c r="AB4" i="7"/>
  <c r="AC14" i="4"/>
  <c r="AC13" i="4"/>
  <c r="AD9" i="2"/>
  <c r="AD8" i="10"/>
  <c r="AB6" i="7"/>
  <c r="AC9" i="3"/>
  <c r="AB7" i="7" s="1"/>
  <c r="AC16" i="3" l="1"/>
  <c r="AC11" i="6"/>
  <c r="AC12" i="6" s="1"/>
  <c r="AC7" i="4"/>
  <c r="AC8" i="4" s="1"/>
  <c r="AB5" i="7"/>
  <c r="AC31" i="10"/>
  <c r="AD15" i="10"/>
  <c r="AD11" i="2"/>
  <c r="AD9" i="10"/>
  <c r="AD19" i="10" s="1"/>
  <c r="AC6" i="6"/>
  <c r="AC16" i="4"/>
  <c r="AC10" i="10" s="1"/>
  <c r="AC17" i="3"/>
  <c r="AC21" i="4"/>
  <c r="AC22" i="4" s="1"/>
  <c r="AB10" i="7" s="1"/>
  <c r="AC15" i="6" l="1"/>
  <c r="AD22" i="10"/>
  <c r="AD21" i="10"/>
  <c r="AD27" i="10"/>
  <c r="AD23" i="10"/>
  <c r="AC20" i="10"/>
  <c r="AC26" i="10"/>
  <c r="AC32" i="10"/>
  <c r="AD14" i="2"/>
  <c r="AD12" i="2"/>
  <c r="AD13" i="2"/>
  <c r="AD15" i="2" s="1"/>
  <c r="AC18" i="4"/>
  <c r="AC20" i="4" s="1"/>
  <c r="AD6" i="4" l="1"/>
  <c r="AD11" i="3"/>
  <c r="AD18" i="2"/>
  <c r="AC34" i="10"/>
  <c r="AC33" i="10"/>
  <c r="AC28" i="10"/>
  <c r="AC7" i="6"/>
  <c r="AC23" i="4"/>
  <c r="AC24" i="4" l="1"/>
  <c r="AB9" i="7"/>
  <c r="AD19" i="2"/>
  <c r="AD20" i="2"/>
  <c r="AC16" i="6"/>
  <c r="AC17" i="6" s="1"/>
  <c r="AC18" i="6" s="1"/>
  <c r="AC8" i="6"/>
  <c r="AD21" i="2" l="1"/>
  <c r="AE17" i="2"/>
  <c r="AD6" i="3"/>
  <c r="AC21" i="6"/>
  <c r="AC20" i="6"/>
  <c r="AD14" i="6"/>
  <c r="AB8" i="7"/>
  <c r="AD12" i="3"/>
  <c r="AD24" i="2"/>
  <c r="AD25" i="2" l="1"/>
  <c r="AD13" i="3" s="1"/>
  <c r="AD19" i="3" s="1"/>
  <c r="AC11" i="7" s="1"/>
  <c r="AD26" i="2"/>
  <c r="AE8" i="2" s="1"/>
  <c r="AE23" i="2" l="1"/>
  <c r="AD7" i="3"/>
  <c r="AD8" i="3" s="1"/>
  <c r="AD28" i="2"/>
  <c r="AD29" i="2"/>
  <c r="AD14" i="3"/>
  <c r="AD31" i="10" l="1"/>
  <c r="AC5" i="7"/>
  <c r="AD7" i="4"/>
  <c r="AD8" i="4" s="1"/>
  <c r="AD18" i="3"/>
  <c r="AD16" i="3"/>
  <c r="AD9" i="3"/>
  <c r="AC7" i="7" s="1"/>
  <c r="AC6" i="7"/>
  <c r="AD11" i="6"/>
  <c r="AD12" i="6" s="1"/>
  <c r="AE9" i="2"/>
  <c r="AE8" i="10"/>
  <c r="AC4" i="7"/>
  <c r="AD14" i="4"/>
  <c r="AD30" i="2"/>
  <c r="AD13" i="4"/>
  <c r="AE15" i="10" l="1"/>
  <c r="AE11" i="2"/>
  <c r="AE9" i="10"/>
  <c r="AD21" i="4"/>
  <c r="AD22" i="4" s="1"/>
  <c r="AC10" i="7" s="1"/>
  <c r="AD16" i="4"/>
  <c r="AD10" i="10" s="1"/>
  <c r="AD6" i="6"/>
  <c r="AD17" i="3"/>
  <c r="AD18" i="4"/>
  <c r="AD20" i="4" s="1"/>
  <c r="AD7" i="6" s="1"/>
  <c r="AD16" i="6" s="1"/>
  <c r="AD23" i="4" l="1"/>
  <c r="AD15" i="6"/>
  <c r="AD17" i="6" s="1"/>
  <c r="AD18" i="6" s="1"/>
  <c r="AD8" i="6"/>
  <c r="AD20" i="10"/>
  <c r="AD26" i="10"/>
  <c r="AE22" i="10"/>
  <c r="AE21" i="10"/>
  <c r="AE27" i="10"/>
  <c r="AE13" i="2"/>
  <c r="AE12" i="2"/>
  <c r="AE14" i="2"/>
  <c r="AE15" i="2" s="1"/>
  <c r="AE19" i="10"/>
  <c r="AD32" i="10"/>
  <c r="AE23" i="10"/>
  <c r="AE6" i="4" l="1"/>
  <c r="AC9" i="7"/>
  <c r="AD24" i="4"/>
  <c r="AE11" i="3"/>
  <c r="AE18" i="2"/>
  <c r="AD28" i="10"/>
  <c r="AD34" i="10"/>
  <c r="AD33" i="10"/>
  <c r="AD20" i="6"/>
  <c r="AD21" i="6"/>
  <c r="AE14" i="6"/>
  <c r="AC8" i="7"/>
  <c r="AE20" i="2" l="1"/>
  <c r="AE19" i="2"/>
  <c r="AE21" i="2" s="1"/>
  <c r="AF17" i="2" l="1"/>
  <c r="AE6" i="3"/>
  <c r="AE12" i="3"/>
  <c r="AE24" i="2"/>
  <c r="AE25" i="2" l="1"/>
  <c r="AE13" i="3" s="1"/>
  <c r="AE19" i="3" s="1"/>
  <c r="AD11" i="7" s="1"/>
  <c r="AE26" i="2"/>
  <c r="AF8" i="2" s="1"/>
  <c r="AE7" i="3" l="1"/>
  <c r="AE8" i="3" s="1"/>
  <c r="AF23" i="2"/>
  <c r="AE29" i="2"/>
  <c r="AE28" i="2"/>
  <c r="AE14" i="3"/>
  <c r="AD4" i="7" l="1"/>
  <c r="AE13" i="4"/>
  <c r="AE30" i="2"/>
  <c r="AE14" i="4"/>
  <c r="AF9" i="2"/>
  <c r="AF8" i="10"/>
  <c r="AE31" i="10"/>
  <c r="AE7" i="4"/>
  <c r="AE8" i="4" s="1"/>
  <c r="AD5" i="7"/>
  <c r="AE18" i="3"/>
  <c r="AD6" i="7"/>
  <c r="AE11" i="6"/>
  <c r="AE12" i="6" s="1"/>
  <c r="AE9" i="3"/>
  <c r="AD7" i="7" s="1"/>
  <c r="AE16" i="3"/>
  <c r="AF15" i="10" l="1"/>
  <c r="AF11" i="2"/>
  <c r="AF9" i="10"/>
  <c r="AF23" i="10" s="1"/>
  <c r="AE21" i="4"/>
  <c r="AE22" i="4" s="1"/>
  <c r="AD10" i="7" s="1"/>
  <c r="AE16" i="4"/>
  <c r="AE10" i="10" s="1"/>
  <c r="AE6" i="6"/>
  <c r="AE17" i="3"/>
  <c r="AE20" i="10" l="1"/>
  <c r="AE26" i="10"/>
  <c r="AF22" i="10"/>
  <c r="AF21" i="10"/>
  <c r="AF27" i="10"/>
  <c r="AF12" i="2"/>
  <c r="AF14" i="2"/>
  <c r="AF13" i="2"/>
  <c r="AF15" i="2"/>
  <c r="AF19" i="10"/>
  <c r="AE15" i="6"/>
  <c r="AE18" i="4"/>
  <c r="AE20" i="4" s="1"/>
  <c r="AE32" i="10"/>
  <c r="AF6" i="4" l="1"/>
  <c r="AE28" i="10"/>
  <c r="AF11" i="3"/>
  <c r="AF18" i="2"/>
  <c r="AE7" i="6"/>
  <c r="AE23" i="4"/>
  <c r="AE33" i="10"/>
  <c r="AE34" i="10"/>
  <c r="AD9" i="7" l="1"/>
  <c r="AE24" i="4"/>
  <c r="AE16" i="6"/>
  <c r="AE17" i="6" s="1"/>
  <c r="AE18" i="6" s="1"/>
  <c r="AE8" i="6"/>
  <c r="AF19" i="2"/>
  <c r="AF21" i="2" s="1"/>
  <c r="AF20" i="2"/>
  <c r="AG17" i="2" l="1"/>
  <c r="AF6" i="3"/>
  <c r="AF12" i="3"/>
  <c r="AF24" i="2"/>
  <c r="AE20" i="6"/>
  <c r="AE21" i="6"/>
  <c r="AF14" i="6"/>
  <c r="AD8" i="7"/>
  <c r="AF25" i="2" l="1"/>
  <c r="AF13" i="3" s="1"/>
  <c r="AF19" i="3" s="1"/>
  <c r="AE11" i="7" s="1"/>
  <c r="AF26" i="2" l="1"/>
  <c r="AG8" i="2" s="1"/>
  <c r="AF14" i="3"/>
  <c r="AF28" i="2" l="1"/>
  <c r="AF7" i="3"/>
  <c r="AF8" i="3" s="1"/>
  <c r="AG23" i="2"/>
  <c r="AF29" i="2"/>
  <c r="AF31" i="10" l="1"/>
  <c r="AF18" i="3"/>
  <c r="AE5" i="7"/>
  <c r="AF7" i="4"/>
  <c r="AF8" i="4" s="1"/>
  <c r="AG9" i="2"/>
  <c r="AG8" i="10"/>
  <c r="AF11" i="6"/>
  <c r="AF12" i="6" s="1"/>
  <c r="AE6" i="7"/>
  <c r="AF16" i="3"/>
  <c r="AF9" i="3"/>
  <c r="AE7" i="7" s="1"/>
  <c r="AE4" i="7"/>
  <c r="AF14" i="4"/>
  <c r="AF13" i="4"/>
  <c r="AF30" i="2"/>
  <c r="AF6" i="6" l="1"/>
  <c r="AF16" i="4"/>
  <c r="AF10" i="10" s="1"/>
  <c r="AF21" i="4"/>
  <c r="AF22" i="4" s="1"/>
  <c r="AE10" i="7" s="1"/>
  <c r="AF17" i="3"/>
  <c r="AG15" i="10"/>
  <c r="AG11" i="2"/>
  <c r="AG9" i="10"/>
  <c r="AF32" i="10"/>
  <c r="AG22" i="10" l="1"/>
  <c r="AG21" i="10"/>
  <c r="AG27" i="10"/>
  <c r="AG19" i="10"/>
  <c r="AG23" i="10"/>
  <c r="AG14" i="2"/>
  <c r="AG13" i="2"/>
  <c r="AG12" i="2"/>
  <c r="AG15" i="2" s="1"/>
  <c r="AF20" i="10"/>
  <c r="AF26" i="10"/>
  <c r="AF18" i="4"/>
  <c r="AF20" i="4" s="1"/>
  <c r="AF15" i="6"/>
  <c r="AF28" i="10" l="1"/>
  <c r="AF34" i="10"/>
  <c r="AF33" i="10"/>
  <c r="AG6" i="4"/>
  <c r="AG11" i="3"/>
  <c r="AG18" i="2"/>
  <c r="AF7" i="6"/>
  <c r="AF23" i="4"/>
  <c r="AG19" i="2" l="1"/>
  <c r="AG20" i="2"/>
  <c r="AG21" i="2" s="1"/>
  <c r="AE9" i="7"/>
  <c r="AF24" i="4"/>
  <c r="AF16" i="6"/>
  <c r="AF17" i="6" s="1"/>
  <c r="AF18" i="6" s="1"/>
  <c r="AF8" i="6"/>
  <c r="AH17" i="2" l="1"/>
  <c r="AG6" i="3"/>
  <c r="AG14" i="6"/>
  <c r="AE8" i="7"/>
  <c r="AF20" i="6"/>
  <c r="AF21" i="6"/>
  <c r="AG12" i="3"/>
  <c r="AG24" i="2"/>
  <c r="AG25" i="2" l="1"/>
  <c r="AG13" i="3" s="1"/>
  <c r="AG19" i="3" s="1"/>
  <c r="AF11" i="7" s="1"/>
  <c r="AG14" i="3" l="1"/>
  <c r="AG26" i="2"/>
  <c r="AH8" i="2" s="1"/>
  <c r="AH23" i="2" l="1"/>
  <c r="AG7" i="3"/>
  <c r="AG8" i="3" s="1"/>
  <c r="AG28" i="2"/>
  <c r="AG29" i="2"/>
  <c r="AF4" i="7" l="1"/>
  <c r="AG30" i="2"/>
  <c r="AG13" i="4"/>
  <c r="AG14" i="4"/>
  <c r="AG31" i="10"/>
  <c r="AG18" i="3"/>
  <c r="AF5" i="7"/>
  <c r="AG7" i="4"/>
  <c r="AG8" i="4" s="1"/>
  <c r="AG11" i="6"/>
  <c r="AG12" i="6" s="1"/>
  <c r="AG16" i="3"/>
  <c r="AG9" i="3"/>
  <c r="AF7" i="7" s="1"/>
  <c r="AF6" i="7"/>
  <c r="AH9" i="2"/>
  <c r="AH8" i="10"/>
  <c r="AG16" i="4" l="1"/>
  <c r="AG10" i="10" s="1"/>
  <c r="AG6" i="6"/>
  <c r="AG21" i="4"/>
  <c r="AG22" i="4" s="1"/>
  <c r="AF10" i="7" s="1"/>
  <c r="AG17" i="3"/>
  <c r="AG18" i="4"/>
  <c r="AG20" i="4" s="1"/>
  <c r="AG7" i="6" s="1"/>
  <c r="AG16" i="6" s="1"/>
  <c r="AG32" i="10"/>
  <c r="AH15" i="10"/>
  <c r="AH11" i="2"/>
  <c r="AH9" i="10"/>
  <c r="AH23" i="10" s="1"/>
  <c r="AH19" i="10" l="1"/>
  <c r="AG23" i="4"/>
  <c r="AG15" i="6"/>
  <c r="AG17" i="6" s="1"/>
  <c r="AG18" i="6" s="1"/>
  <c r="AG8" i="6"/>
  <c r="AH22" i="10"/>
  <c r="AH21" i="10"/>
  <c r="AH27" i="10"/>
  <c r="AH12" i="2"/>
  <c r="AH13" i="2"/>
  <c r="AH14" i="2"/>
  <c r="AG20" i="10"/>
  <c r="AG26" i="10"/>
  <c r="AH15" i="2" l="1"/>
  <c r="AG34" i="10"/>
  <c r="AG33" i="10"/>
  <c r="AH6" i="4"/>
  <c r="AH18" i="2"/>
  <c r="AH11" i="3"/>
  <c r="AH14" i="6"/>
  <c r="AF8" i="7"/>
  <c r="AG20" i="6"/>
  <c r="AG21" i="6"/>
  <c r="AG28" i="10"/>
  <c r="AF9" i="7"/>
  <c r="AG24" i="4"/>
  <c r="AH20" i="2" l="1"/>
  <c r="AH19" i="2"/>
  <c r="AH21" i="2" l="1"/>
  <c r="AI17" i="2"/>
  <c r="AH6" i="3"/>
  <c r="AH12" i="3"/>
  <c r="AH24" i="2"/>
  <c r="AH25" i="2" l="1"/>
  <c r="AH13" i="3" s="1"/>
  <c r="AH19" i="3" s="1"/>
  <c r="AG11" i="7" s="1"/>
  <c r="AH14" i="3" l="1"/>
  <c r="AH26" i="2"/>
  <c r="AI8" i="2" s="1"/>
  <c r="AH7" i="3" l="1"/>
  <c r="AH8" i="3" s="1"/>
  <c r="AI23" i="2"/>
  <c r="AH29" i="2"/>
  <c r="AH28" i="2"/>
  <c r="AH31" i="10" l="1"/>
  <c r="AH18" i="3"/>
  <c r="AG5" i="7"/>
  <c r="AH7" i="4"/>
  <c r="AH8" i="4" s="1"/>
  <c r="AI9" i="2"/>
  <c r="AI8" i="10"/>
  <c r="AG4" i="7"/>
  <c r="AH30" i="2"/>
  <c r="AH13" i="4"/>
  <c r="AH14" i="4"/>
  <c r="AH11" i="6"/>
  <c r="AH12" i="6" s="1"/>
  <c r="AG6" i="7"/>
  <c r="AH16" i="3"/>
  <c r="AH9" i="3"/>
  <c r="AG7" i="7" s="1"/>
  <c r="AI15" i="10" l="1"/>
  <c r="AH16" i="4"/>
  <c r="AH10" i="10" s="1"/>
  <c r="AH21" i="4"/>
  <c r="AH22" i="4" s="1"/>
  <c r="AG10" i="7" s="1"/>
  <c r="AH6" i="6"/>
  <c r="AH17" i="3"/>
  <c r="AI11" i="2"/>
  <c r="AI9" i="10"/>
  <c r="AI19" i="10" s="1"/>
  <c r="AH15" i="6" l="1"/>
  <c r="AI23" i="10"/>
  <c r="AI22" i="10"/>
  <c r="AI21" i="10"/>
  <c r="AI27" i="10"/>
  <c r="AI14" i="2"/>
  <c r="AI13" i="2"/>
  <c r="AI12" i="2"/>
  <c r="AI15" i="2" s="1"/>
  <c r="AH20" i="10"/>
  <c r="AH26" i="10"/>
  <c r="AH32" i="10"/>
  <c r="AH18" i="4"/>
  <c r="AH20" i="4" s="1"/>
  <c r="AH34" i="10" l="1"/>
  <c r="AH33" i="10"/>
  <c r="AI6" i="4"/>
  <c r="AI11" i="3"/>
  <c r="AI18" i="2"/>
  <c r="AH7" i="6"/>
  <c r="AH23" i="4"/>
  <c r="AH28" i="10"/>
  <c r="AG9" i="7" l="1"/>
  <c r="AH24" i="4"/>
  <c r="AH16" i="6"/>
  <c r="AH17" i="6" s="1"/>
  <c r="AH18" i="6" s="1"/>
  <c r="AH8" i="6"/>
  <c r="AI20" i="2"/>
  <c r="AI19" i="2"/>
  <c r="AI12" i="3" l="1"/>
  <c r="AI24" i="2"/>
  <c r="AI21" i="2"/>
  <c r="AH20" i="6"/>
  <c r="AH21" i="6"/>
  <c r="AI14" i="6"/>
  <c r="AG8" i="7"/>
  <c r="AJ17" i="2" l="1"/>
  <c r="AI6" i="3"/>
  <c r="AI25" i="2"/>
  <c r="AI13" i="3" s="1"/>
  <c r="AI19" i="3" s="1"/>
  <c r="AH11" i="7" s="1"/>
  <c r="AI26" i="2"/>
  <c r="AJ8" i="2" s="1"/>
  <c r="AI14" i="3"/>
  <c r="AI7" i="3" l="1"/>
  <c r="AI8" i="3" s="1"/>
  <c r="AJ23" i="2"/>
  <c r="AI28" i="2"/>
  <c r="AI29" i="2"/>
  <c r="AH4" i="7" l="1"/>
  <c r="AI30" i="2"/>
  <c r="AI14" i="4"/>
  <c r="AI13" i="4"/>
  <c r="AJ9" i="2"/>
  <c r="AJ8" i="10"/>
  <c r="AI31" i="10"/>
  <c r="AI18" i="3"/>
  <c r="AI7" i="4"/>
  <c r="AI8" i="4" s="1"/>
  <c r="AH5" i="7"/>
  <c r="AI11" i="6"/>
  <c r="AI12" i="6" s="1"/>
  <c r="AH6" i="7"/>
  <c r="AI16" i="3"/>
  <c r="AI9" i="3"/>
  <c r="AH7" i="7" s="1"/>
  <c r="AJ15" i="10" l="1"/>
  <c r="AI21" i="4"/>
  <c r="AI22" i="4" s="1"/>
  <c r="AH10" i="7" s="1"/>
  <c r="AI6" i="6"/>
  <c r="AI16" i="4"/>
  <c r="AI10" i="10" s="1"/>
  <c r="AI17" i="3"/>
  <c r="AJ11" i="2"/>
  <c r="AJ9" i="10"/>
  <c r="AJ23" i="10" s="1"/>
  <c r="AJ19" i="10" l="1"/>
  <c r="AJ14" i="2"/>
  <c r="AJ15" i="2" s="1"/>
  <c r="AJ12" i="2"/>
  <c r="AJ13" i="2"/>
  <c r="AI20" i="10"/>
  <c r="AI26" i="10"/>
  <c r="AI15" i="6"/>
  <c r="AI18" i="4"/>
  <c r="AI20" i="4" s="1"/>
  <c r="AJ21" i="10"/>
  <c r="AJ22" i="10"/>
  <c r="AJ27" i="10"/>
  <c r="AI32" i="10"/>
  <c r="AI7" i="6" l="1"/>
  <c r="AI23" i="4"/>
  <c r="AI28" i="10"/>
  <c r="AI33" i="10"/>
  <c r="AI34" i="10"/>
  <c r="AJ18" i="2"/>
  <c r="AJ11" i="3"/>
  <c r="AJ6" i="4"/>
  <c r="AH9" i="7" l="1"/>
  <c r="AI24" i="4"/>
  <c r="AJ20" i="2"/>
  <c r="AJ19" i="2"/>
  <c r="AJ21" i="2" s="1"/>
  <c r="AI16" i="6"/>
  <c r="AI17" i="6" s="1"/>
  <c r="AI18" i="6" s="1"/>
  <c r="AI8" i="6"/>
  <c r="AH8" i="7" l="1"/>
  <c r="AJ14" i="6"/>
  <c r="AI20" i="6"/>
  <c r="AI21" i="6"/>
  <c r="AJ6" i="3"/>
  <c r="AK17" i="2"/>
  <c r="AJ12" i="3"/>
  <c r="AJ24" i="2"/>
  <c r="AJ25" i="2" l="1"/>
  <c r="AJ13" i="3" s="1"/>
  <c r="AJ19" i="3" s="1"/>
  <c r="AI11" i="7" s="1"/>
  <c r="AJ26" i="2" l="1"/>
  <c r="AK8" i="2" s="1"/>
  <c r="AJ14" i="3"/>
  <c r="AJ7" i="3" l="1"/>
  <c r="AJ8" i="3" s="1"/>
  <c r="AK23" i="2"/>
  <c r="AJ29" i="2"/>
  <c r="AJ28" i="2"/>
  <c r="AJ14" i="4" l="1"/>
  <c r="AI4" i="7"/>
  <c r="AJ13" i="4"/>
  <c r="AJ30" i="2"/>
  <c r="AJ31" i="10"/>
  <c r="AJ18" i="3"/>
  <c r="AJ7" i="4"/>
  <c r="AJ8" i="4" s="1"/>
  <c r="AI5" i="7"/>
  <c r="AK9" i="2"/>
  <c r="AK8" i="10"/>
  <c r="AI6" i="7"/>
  <c r="AJ11" i="6"/>
  <c r="AJ12" i="6" s="1"/>
  <c r="AJ16" i="3"/>
  <c r="AJ9" i="3"/>
  <c r="AI7" i="7" s="1"/>
  <c r="AK11" i="2" l="1"/>
  <c r="AK9" i="10"/>
  <c r="AK23" i="10"/>
  <c r="AK15" i="10"/>
  <c r="AK19" i="10"/>
  <c r="AJ16" i="4"/>
  <c r="AJ10" i="10" s="1"/>
  <c r="AJ6" i="6"/>
  <c r="AJ21" i="4"/>
  <c r="AJ22" i="4" s="1"/>
  <c r="AI10" i="7" s="1"/>
  <c r="AJ17" i="3"/>
  <c r="AJ15" i="6" l="1"/>
  <c r="AJ18" i="4"/>
  <c r="AJ20" i="4" s="1"/>
  <c r="AK21" i="10"/>
  <c r="AK22" i="10"/>
  <c r="AK27" i="10"/>
  <c r="AJ20" i="10"/>
  <c r="AJ26" i="10"/>
  <c r="AJ32" i="10"/>
  <c r="AK13" i="2"/>
  <c r="AK14" i="2"/>
  <c r="AK12" i="2"/>
  <c r="AJ28" i="10" l="1"/>
  <c r="AJ33" i="10"/>
  <c r="AJ34" i="10"/>
  <c r="AJ7" i="6"/>
  <c r="AJ23" i="4"/>
  <c r="AK15" i="2"/>
  <c r="AK18" i="2"/>
  <c r="AK11" i="3"/>
  <c r="AK20" i="2" l="1"/>
  <c r="AK19" i="2"/>
  <c r="AI9" i="7"/>
  <c r="AJ24" i="4"/>
  <c r="AK6" i="4"/>
  <c r="AJ16" i="6"/>
  <c r="AJ17" i="6" s="1"/>
  <c r="AJ18" i="6" s="1"/>
  <c r="AJ8" i="6"/>
  <c r="AJ21" i="6" l="1"/>
  <c r="AJ20" i="6"/>
  <c r="AK14" i="6"/>
  <c r="AI8" i="7"/>
  <c r="AK12" i="3"/>
  <c r="AK24" i="2"/>
  <c r="AK21" i="2"/>
  <c r="AK6" i="3" l="1"/>
  <c r="AL17" i="2"/>
  <c r="AK25" i="2"/>
  <c r="AK13" i="3" s="1"/>
  <c r="AK19" i="3" s="1"/>
  <c r="AJ11" i="7" s="1"/>
  <c r="AK26" i="2" l="1"/>
  <c r="AL8" i="2" s="1"/>
  <c r="AK14" i="3"/>
  <c r="AK7" i="3" l="1"/>
  <c r="AK8" i="3" s="1"/>
  <c r="AL23" i="2"/>
  <c r="AK29" i="2"/>
  <c r="AK28" i="2"/>
  <c r="AK13" i="4" l="1"/>
  <c r="AJ4" i="7"/>
  <c r="AK14" i="4"/>
  <c r="AK30" i="2"/>
  <c r="AK31" i="10"/>
  <c r="AK18" i="3"/>
  <c r="AK7" i="4"/>
  <c r="AK8" i="4" s="1"/>
  <c r="AJ5" i="7"/>
  <c r="AL9" i="2"/>
  <c r="AL8" i="10"/>
  <c r="AK9" i="3"/>
  <c r="AJ7" i="7" s="1"/>
  <c r="AK11" i="6"/>
  <c r="AK12" i="6" s="1"/>
  <c r="AJ6" i="7"/>
  <c r="AK16" i="3"/>
  <c r="AL15" i="10" l="1"/>
  <c r="AK21" i="4"/>
  <c r="AK22" i="4" s="1"/>
  <c r="AJ10" i="7" s="1"/>
  <c r="AL11" i="2"/>
  <c r="AL9" i="10"/>
  <c r="AK16" i="4"/>
  <c r="AK10" i="10" s="1"/>
  <c r="AK32" i="10" s="1"/>
  <c r="AK6" i="6"/>
  <c r="AK17" i="3"/>
  <c r="AL14" i="2" l="1"/>
  <c r="AL13" i="2"/>
  <c r="AL12" i="2"/>
  <c r="AK15" i="6"/>
  <c r="AL22" i="10"/>
  <c r="AL21" i="10"/>
  <c r="AL27" i="10"/>
  <c r="AL19" i="10"/>
  <c r="AK20" i="10"/>
  <c r="AK26" i="10"/>
  <c r="AK18" i="4"/>
  <c r="AK20" i="4" s="1"/>
  <c r="AK7" i="6" l="1"/>
  <c r="AK23" i="4"/>
  <c r="AK28" i="10"/>
  <c r="AK33" i="10"/>
  <c r="AK34" i="10"/>
  <c r="AL15" i="2"/>
  <c r="AL18" i="2"/>
  <c r="AL11" i="3"/>
  <c r="AL20" i="2" l="1"/>
  <c r="AL19" i="2"/>
  <c r="AJ9" i="7"/>
  <c r="AK24" i="4"/>
  <c r="AL6" i="4"/>
  <c r="AK16" i="6"/>
  <c r="AK17" i="6" s="1"/>
  <c r="AK18" i="6" s="1"/>
  <c r="AK8" i="6"/>
  <c r="AJ8" i="7" l="1"/>
  <c r="AL14" i="6"/>
  <c r="AK20" i="6"/>
  <c r="AK21" i="6"/>
  <c r="AL12" i="3"/>
  <c r="AL24" i="2"/>
  <c r="AL21" i="2"/>
  <c r="AL6" i="3" l="1"/>
  <c r="AL25" i="2"/>
  <c r="AL13" i="3" s="1"/>
  <c r="AL19" i="3" s="1"/>
  <c r="AL26" i="2" l="1"/>
  <c r="AL7" i="3" s="1"/>
  <c r="AL8" i="3" s="1"/>
  <c r="AK6" i="7"/>
  <c r="AL11" i="6"/>
  <c r="AL12" i="6" s="1"/>
  <c r="D32" i="5"/>
  <c r="AL16" i="3"/>
  <c r="AL9" i="3"/>
  <c r="B32" i="8"/>
  <c r="AL14" i="3"/>
  <c r="AL29" i="2"/>
  <c r="AK11" i="7"/>
  <c r="D36" i="5"/>
  <c r="AL28" i="2"/>
  <c r="AK4" i="7" l="1"/>
  <c r="AL14" i="4"/>
  <c r="AL13" i="4"/>
  <c r="AL18" i="4" s="1"/>
  <c r="D29" i="5"/>
  <c r="AL30" i="2"/>
  <c r="D31" i="5" s="1"/>
  <c r="AL7" i="4"/>
  <c r="AL8" i="4" s="1"/>
  <c r="AL21" i="4" s="1"/>
  <c r="AL22" i="4" s="1"/>
  <c r="AL31" i="10"/>
  <c r="D30" i="5"/>
  <c r="AK5" i="7"/>
  <c r="AL18" i="3"/>
  <c r="AK7" i="7"/>
  <c r="D33" i="5"/>
  <c r="AL16" i="4"/>
  <c r="AL10" i="10" s="1"/>
  <c r="AL6" i="6"/>
  <c r="B43" i="8"/>
  <c r="AL17" i="3"/>
  <c r="B40" i="8" s="1"/>
  <c r="AL32" i="10" l="1"/>
  <c r="D34" i="5"/>
  <c r="B8" i="8"/>
  <c r="AK10" i="7"/>
  <c r="AL20" i="4"/>
  <c r="AL15" i="6"/>
  <c r="AL20" i="10"/>
  <c r="AL26" i="10"/>
  <c r="AL28" i="10" s="1"/>
  <c r="AL7" i="6" l="1"/>
  <c r="AL23" i="4"/>
  <c r="AL33" i="10"/>
  <c r="AL34" i="10"/>
  <c r="AK9" i="7" l="1"/>
  <c r="B66" i="5"/>
  <c r="B67" i="5" s="1"/>
  <c r="AL24" i="4"/>
  <c r="D35" i="5" s="1"/>
  <c r="AL16" i="6"/>
  <c r="AL17" i="6" s="1"/>
  <c r="AL18" i="6" s="1"/>
  <c r="AK8" i="7" s="1"/>
  <c r="AL8" i="6"/>
  <c r="AL20" i="6" l="1"/>
  <c r="AL21" i="6"/>
  <c r="B31" i="8" s="1"/>
  <c r="B28" i="8"/>
  <c r="B24" i="8"/>
  <c r="B9" i="8"/>
  <c r="B69" i="5"/>
  <c r="B71" i="5"/>
  <c r="B68" i="5"/>
  <c r="B70" i="5" l="1"/>
  <c r="B29" i="8"/>
  <c r="B72" i="5"/>
  <c r="B30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Shinji Fujiwara</author>
  </authors>
  <commentList>
    <comment ref="B16" authorId="0" shapeId="0" xr:uid="{385EDE58-AD46-AF49-A743-A2B7C4701C33}">
      <text>
        <r>
          <rPr>
            <b/>
            <sz val="10"/>
            <color rgb="FF000000"/>
            <rFont val="Tahoma"/>
            <family val="2"/>
          </rPr>
          <t>Shinji Fujiwara:</t>
        </r>
        <r>
          <rPr>
            <sz val="10"/>
            <color rgb="FF000000"/>
            <rFont val="Tahoma"/>
            <family val="2"/>
          </rPr>
          <t xml:space="preserve">
K-factor decays by 2%/mo as early adopter virality fades. 0.08 × 0.98^35 ≈ 0.04 by M36.</t>
        </r>
      </text>
    </comment>
    <comment ref="D41" authorId="0" shapeId="0" xr:uid="{49FE0226-555D-114D-AB41-1D839D2A10C5}">
      <text>
        <r>
          <rPr>
            <b/>
            <sz val="10"/>
            <color rgb="FF000000"/>
            <rFont val="Tahoma"/>
            <family val="2"/>
          </rPr>
          <t>Was 8. Reduced by 1 — still +1 vs Phase 2 for security hardening</t>
        </r>
      </text>
    </comment>
    <comment ref="D42" authorId="0" shapeId="0" xr:uid="{199D380E-EABF-3E49-B86C-B440F2707635}">
      <text>
        <r>
          <rPr>
            <b/>
            <sz val="10"/>
            <color rgb="FF000000"/>
            <rFont val="Tahoma"/>
            <family val="2"/>
          </rPr>
          <t>Was 3. Reverted to Phase 2 level — compliance handled by G&amp;A</t>
        </r>
      </text>
    </comment>
    <comment ref="D43" authorId="0" shapeId="0" xr:uid="{432A35CA-2DE4-2D44-A4A2-86337C0B9A13}">
      <text>
        <r>
          <rPr>
            <b/>
            <sz val="10"/>
            <color rgb="FF000000"/>
            <rFont val="Tahoma"/>
            <family val="2"/>
          </rPr>
          <t>Was 4. Reverted to Phase 2 level — ML ops absorbed by existing team</t>
        </r>
      </text>
    </comment>
    <comment ref="D44" authorId="0" shapeId="0" xr:uid="{F1DD773F-D851-6843-93C3-CD4293419C02}">
      <text>
        <r>
          <rPr>
            <b/>
            <sz val="10"/>
            <color rgb="FF000000"/>
            <rFont val="Tahoma"/>
            <family val="2"/>
          </rPr>
          <t>Unchanged at 3 — needed to support 35% marketing spend</t>
        </r>
      </text>
    </comment>
    <comment ref="D45" authorId="0" shapeId="0" xr:uid="{46B9DB62-76E4-3C47-8B68-FEC76852D88A}">
      <text>
        <r>
          <rPr>
            <b/>
            <sz val="10"/>
            <color rgb="FF000000"/>
            <rFont val="Tahoma"/>
            <family val="2"/>
          </rPr>
          <t>Was 2. Reverted to 1 — partnerships not yet critical at this stage</t>
        </r>
      </text>
    </comment>
    <comment ref="D46" authorId="0" shapeId="0" xr:uid="{2D3F9E53-1B34-4947-BDCB-FBF87756B9A2}">
      <text>
        <r>
          <rPr>
            <b/>
            <sz val="10"/>
            <color rgb="FF000000"/>
            <rFont val="Tahoma"/>
            <family val="2"/>
          </rPr>
          <t>Was 4. Reduced by 1 — compliance officer kept, deferred legal hire</t>
        </r>
      </text>
    </comment>
    <comment ref="D47" authorId="0" shapeId="0" xr:uid="{B04E4D41-904F-BD45-9779-AF003666F513}">
      <text>
        <r>
          <rPr>
            <b/>
            <sz val="10"/>
            <color rgb="FF000000"/>
            <rFont val="Tahoma"/>
            <family val="2"/>
          </rPr>
          <t>Unchanged at 6 — customer support load remains high at scale</t>
        </r>
      </text>
    </comment>
    <comment ref="B62" authorId="0" shapeId="0" xr:uid="{E989AA77-39A3-F84A-B842-F7DAEC302E70}">
      <text>
        <r>
          <rPr>
            <b/>
            <sz val="10"/>
            <color rgb="FF000000"/>
            <rFont val="Tahoma"/>
            <family val="2"/>
          </rPr>
          <t>Reverted to original 25%. Conservative PLG-first approach.</t>
        </r>
      </text>
    </comment>
  </commentList>
</comments>
</file>

<file path=xl/sharedStrings.xml><?xml version="1.0" encoding="utf-8"?>
<sst xmlns="http://schemas.openxmlformats.org/spreadsheetml/2006/main" count="777" uniqueCount="449">
  <si>
    <t>POSEIDON.AI — Financial Model Assumptions</t>
  </si>
  <si>
    <t>B2C SaaS | 36-Month Projection | Realistic Growth Scenario</t>
  </si>
  <si>
    <t>PRICING &amp; MONETIZATION</t>
  </si>
  <si>
    <t>Tier</t>
  </si>
  <si>
    <t>Monthly Price</t>
  </si>
  <si>
    <t>Annual Price</t>
  </si>
  <si>
    <t>Engines Included</t>
  </si>
  <si>
    <t>Free</t>
  </si>
  <si>
    <t>Dashboard + Basic Protect (3 alerts/mo)</t>
  </si>
  <si>
    <t>Plus</t>
  </si>
  <si>
    <t>Full Protect + Grow (forecasting, savings insights)</t>
  </si>
  <si>
    <t>Pro</t>
  </si>
  <si>
    <t>All 4 Engines: Protect + Grow + Execute + Govern</t>
  </si>
  <si>
    <t>USER GROWTH</t>
  </si>
  <si>
    <t>Launch users (Month 1)</t>
  </si>
  <si>
    <t>Beta waitlist + ProductHunt launch</t>
  </si>
  <si>
    <t>Initial organic signup rate</t>
  </si>
  <si>
    <t>Starting MoM rate; decays by factor below</t>
  </si>
  <si>
    <t>Paid acquisition (users/mo, M1)</t>
  </si>
  <si>
    <t>Starting paid spend; scales with budget</t>
  </si>
  <si>
    <t>Paid acquisition growth rate</t>
  </si>
  <si>
    <t>MoM increase in paid spend</t>
  </si>
  <si>
    <t>Viral coefficient (K-factor)</t>
  </si>
  <si>
    <t>Invites per user that convert</t>
  </si>
  <si>
    <t>Organic growth decay factor</t>
  </si>
  <si>
    <t>Rate multiplier per month; 0.955 = ~3.5% rate by M36</t>
  </si>
  <si>
    <t>CONVERSION &amp; CHURN</t>
  </si>
  <si>
    <t>Free → Plus conversion rate</t>
  </si>
  <si>
    <t>Monthly; industry 3-7% for freemium fintech</t>
  </si>
  <si>
    <t>Free → Pro conversion rate</t>
  </si>
  <si>
    <t>Monthly; direct-to-Pro skip</t>
  </si>
  <si>
    <t>Plus → Pro upgrade rate</t>
  </si>
  <si>
    <t>Monthly upgrade from Plus to Pro</t>
  </si>
  <si>
    <t>Free churn rate (monthly)</t>
  </si>
  <si>
    <t>Free users who stop using</t>
  </si>
  <si>
    <t>Plus churn rate (monthly)</t>
  </si>
  <si>
    <t>Paid churn; B2C SaaS median ~5-7%, set at lower end</t>
  </si>
  <si>
    <t>Pro churn rate (monthly)</t>
  </si>
  <si>
    <t>Lower churn at higher engagement tier; B2C floor ~3%</t>
  </si>
  <si>
    <t>PRICING ASSUMPTIONS</t>
  </si>
  <si>
    <t>Annual plan adoption rate</t>
  </si>
  <si>
    <t>Pct of paid users choosing annual</t>
  </si>
  <si>
    <t>Annual discount</t>
  </si>
  <si>
    <t>20% off vs monthly</t>
  </si>
  <si>
    <t>Blended ARPU — Plus</t>
  </si>
  <si>
    <t>Weighted monthly + annual mix</t>
  </si>
  <si>
    <t>Blended ARPU — Pro</t>
  </si>
  <si>
    <t>COST STRUCTURE</t>
  </si>
  <si>
    <t>COGS per paid user / mo</t>
  </si>
  <si>
    <t>Cloud infra + AI inference + data feeds (per-user marginal cost incl. AI API calls); AI-first premium</t>
  </si>
  <si>
    <t>COGS per free user / mo</t>
  </si>
  <si>
    <t>Minimal compute for free tier (dashboard rendering, basic alerts)</t>
  </si>
  <si>
    <t>CAC — Organic</t>
  </si>
  <si>
    <t>Content + SEO + referral program cost per signup</t>
  </si>
  <si>
    <t>CAC — Paid</t>
  </si>
  <si>
    <t>Blended CPI across Meta, Google, TikTok; fintech B2C $30-50 range, set at lower end</t>
  </si>
  <si>
    <t>CAC — Blended (formula)</t>
  </si>
  <si>
    <t>~70% organic / 30% paid mix</t>
  </si>
  <si>
    <t>HEADCOUNT PLAN</t>
  </si>
  <si>
    <t>Role</t>
  </si>
  <si>
    <t>M1-6</t>
  </si>
  <si>
    <t>M7-18</t>
  </si>
  <si>
    <t>M19-36</t>
  </si>
  <si>
    <t>Engineering</t>
  </si>
  <si>
    <t>Product &amp; Design</t>
  </si>
  <si>
    <t>Data Science / ML</t>
  </si>
  <si>
    <t>Marketing &amp; Growth</t>
  </si>
  <si>
    <t>Sales &amp; Partnerships</t>
  </si>
  <si>
    <t>G&amp;A (Finance, Legal, HR)</t>
  </si>
  <si>
    <t>Customer Support</t>
  </si>
  <si>
    <t>Total Headcount</t>
  </si>
  <si>
    <t>Avg fully-loaded cost / head / yr</t>
  </si>
  <si>
    <t>Remote-first; salary + benefits + equity + overhead</t>
  </si>
  <si>
    <t>FUNDING</t>
  </si>
  <si>
    <t>Seed round</t>
  </si>
  <si>
    <t>Pre-launch; Month 0</t>
  </si>
  <si>
    <t>Seed pre-money valuation</t>
  </si>
  <si>
    <t>Series A round</t>
  </si>
  <si>
    <t>Trigger on MRR milestone</t>
  </si>
  <si>
    <t>Series A pre-money valuation</t>
  </si>
  <si>
    <t>Series A trigger: MRR &gt;=</t>
  </si>
  <si>
    <t>Raise when MRR hits $300K</t>
  </si>
  <si>
    <t>OPERATING EXPENSES (NON-HEADCOUNT)</t>
  </si>
  <si>
    <t>Cloud infrastructure (base / mo)</t>
  </si>
  <si>
    <t>AWS/GCP base; lean start before per-user scaling</t>
  </si>
  <si>
    <t>AI/ML model costs (base / mo)</t>
  </si>
  <si>
    <t>Foundation model API base + fine-tuning compute (marginal AI inference is in COGS $1.20)</t>
  </si>
  <si>
    <t>Data feeds &amp; APIs (/ mo)</t>
  </si>
  <si>
    <t>Plaid, financial data providers</t>
  </si>
  <si>
    <t>Marketing spend (% of revenue)</t>
  </si>
  <si>
    <t>PLG-first; scales with revenue</t>
  </si>
  <si>
    <t>Office &amp; misc (/ mo)</t>
  </si>
  <si>
    <t>100% remote; no office costs</t>
  </si>
  <si>
    <t>INFRASTRUCTURE SCALING</t>
  </si>
  <si>
    <t>Cloud infra scaling ($/MAU/mo)</t>
  </si>
  <si>
    <t>Per-MAU increment on top of base $10K; covers DB, CDN, monitoring scaling</t>
  </si>
  <si>
    <t>AI/ML scaling ($/MAU/mo)</t>
  </si>
  <si>
    <t>Per-MAU increment on top of base $5K; covers inference scaling beyond COGS</t>
  </si>
  <si>
    <t>CUSTOMER VALUE PROPOSITION</t>
  </si>
  <si>
    <t>Plus: Expected annual benefit ($/yr)</t>
  </si>
  <si>
    <t>Basic Protect ~$150/yr (3 alerts/mo) + Grow ~$200/yr + Execute (5 scenario/mo) ~$150/yr</t>
  </si>
  <si>
    <t>Pro: Expected annual benefit ($/yr)</t>
  </si>
  <si>
    <t>Full Protect $235/yr + Grow $800/yr + Execute $500/yr + Govern $265/yr</t>
  </si>
  <si>
    <t>Plus: Annual cost to customer ($/yr)</t>
  </si>
  <si>
    <t>$7.99 x 12</t>
  </si>
  <si>
    <t>Pro: Annual cost to customer ($/yr)</t>
  </si>
  <si>
    <t>$19.99 x 12</t>
  </si>
  <si>
    <t>Plus: Customer ROI</t>
  </si>
  <si>
    <t>Target: &gt;3x for strong conversion</t>
  </si>
  <si>
    <t>Pro: Customer ROI</t>
  </si>
  <si>
    <t>POSEIDON.AI — User Growth Model</t>
  </si>
  <si>
    <t>36-Month Projection by Tier</t>
  </si>
  <si>
    <t>Metric</t>
  </si>
  <si>
    <t>Units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</si>
  <si>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</si>
  <si>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</si>
  <si>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</si>
  <si>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</si>
  <si>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</si>
  <si>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</si>
  <si>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</si>
  <si>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</si>
  <si>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</si>
  <si>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</si>
  <si>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</si>
  <si>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</si>
  <si>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</si>
  <si>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</si>
  <si>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</si>
  <si>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</si>
  <si>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</si>
  <si>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</si>
  <si>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</si>
  <si>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</si>
  <si>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</si>
  <si>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</si>
  <si>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</si>
  <si>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</si>
  <si>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</si>
  <si>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</si>
  <si>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</si>
  <si>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</si>
  <si>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</si>
  <si>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</si>
  <si>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</si>
  <si>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</si>
  <si>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</si>
  <si>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</si>
  <si>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</si>
  <si>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</si>
  <si>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NEW USER ACQUISITION</t>
  </si>
  <si>
    <t>New organic signups</t>
  </si>
  <si>
    <t>#</t>
  </si>
  <si>
    <t>New paid acquisition</t>
  </si>
  <si>
    <t>Viral / referral signups</t>
  </si>
  <si>
    <t>Total new signups</t>
  </si>
  <si>
    <t>FREE TIER USERS</t>
  </si>
  <si>
    <t>Free — Beginning of Month</t>
  </si>
  <si>
    <t xml:space="preserve">    Less: Convert to Plus</t>
  </si>
  <si>
    <t xml:space="preserve">    Less: Convert to Pro</t>
  </si>
  <si>
    <t xml:space="preserve">  Less: Churn</t>
  </si>
  <si>
    <t>Free — End of Month</t>
  </si>
  <si>
    <t>PLUS TIER USERS ($7.99/mo)</t>
  </si>
  <si>
    <t>Plus — Beginning of Month</t>
  </si>
  <si>
    <t xml:space="preserve">  Add: Conversions from Free</t>
  </si>
  <si>
    <t xml:space="preserve">  Less: Upgrade to Pro</t>
  </si>
  <si>
    <t>Plus — End of Month</t>
  </si>
  <si>
    <t>PRO TIER USERS ($19.99/mo)</t>
  </si>
  <si>
    <t>Pro — Beginning of Month</t>
  </si>
  <si>
    <t xml:space="preserve">  Add: Conversions (Free + Plus)</t>
  </si>
  <si>
    <t>Pro — End of Month</t>
  </si>
  <si>
    <t>TOTAL METRICS</t>
  </si>
  <si>
    <t>Total MAU</t>
  </si>
  <si>
    <t>Total Paid Users</t>
  </si>
  <si>
    <t>Paid %</t>
  </si>
  <si>
    <t>%</t>
  </si>
  <si>
    <t>POSEIDON.AI — Revenue Model</t>
  </si>
  <si>
    <t>MRR / ARR by Tier</t>
  </si>
  <si>
    <t>MRR BY TIER</t>
  </si>
  <si>
    <t>Plus MRR</t>
  </si>
  <si>
    <t>$</t>
  </si>
  <si>
    <t>Pro MRR</t>
  </si>
  <si>
    <t>Total MRR</t>
  </si>
  <si>
    <t>ARR (MRR x 12)</t>
  </si>
  <si>
    <t>MRR MOVEMENTS</t>
  </si>
  <si>
    <t>New MRR (new conversions)</t>
  </si>
  <si>
    <t>Expansion MRR (upgrades)</t>
  </si>
  <si>
    <t>Churned MRR</t>
  </si>
  <si>
    <t>Net New MRR</t>
  </si>
  <si>
    <t>REVENUE</t>
  </si>
  <si>
    <t>Monthly Revenue</t>
  </si>
  <si>
    <t>Cumulative Revenue</t>
  </si>
  <si>
    <t>Blended ARPU (paid users)</t>
  </si>
  <si>
    <t>Net Revenue Retention (NRR)</t>
  </si>
  <si>
    <t>POSEIDON.AI — Cost Structure</t>
  </si>
  <si>
    <t>COGS + OpEx + Headcount</t>
  </si>
  <si>
    <t>COST OF GOODS SOLD (COGS)</t>
  </si>
  <si>
    <t>COGS — Free users</t>
  </si>
  <si>
    <t>COGS — Paid users</t>
  </si>
  <si>
    <t>Total COGS</t>
  </si>
  <si>
    <t>HEADCOUNT COSTS</t>
  </si>
  <si>
    <t>Headcount (FTEs)</t>
  </si>
  <si>
    <t>Total Payroll</t>
  </si>
  <si>
    <t>OPERATING EXPENSES</t>
  </si>
  <si>
    <t>Cloud infrastructure (base + scaling)</t>
  </si>
  <si>
    <t>AI/ML model costs (base + scaling)</t>
  </si>
  <si>
    <t>Data feeds &amp; APIs</t>
  </si>
  <si>
    <t>Office &amp; Misc</t>
  </si>
  <si>
    <t>Total OpEx (non-COGS)</t>
  </si>
  <si>
    <t>PROFITABILITY</t>
  </si>
  <si>
    <t>Total Costs</t>
  </si>
  <si>
    <t>Gross Profit</t>
  </si>
  <si>
    <t>Gross Margin</t>
  </si>
  <si>
    <t>Operating Profit (EBITDA proxy)</t>
  </si>
  <si>
    <t>Operating Margin</t>
  </si>
  <si>
    <t>POSEIDON.AI — Unit Economics</t>
  </si>
  <si>
    <t>CAC, LTV, Payback Period, Contribution Margin</t>
  </si>
  <si>
    <t>CUSTOMER ACQUISITION COST (CAC)</t>
  </si>
  <si>
    <t>Blended CAC</t>
  </si>
  <si>
    <t>CAC Payback — Plus (months)</t>
  </si>
  <si>
    <t>Months to recover CAC from Plus subscriber</t>
  </si>
  <si>
    <t>CAC Payback — Pro (months)</t>
  </si>
  <si>
    <t>LIFETIME VALUE (LTV)</t>
  </si>
  <si>
    <t>Plus avg lifetime (months)</t>
  </si>
  <si>
    <t>1 / monthly churn rate</t>
  </si>
  <si>
    <t>Pro avg lifetime (months)</t>
  </si>
  <si>
    <t>LTV — Plus</t>
  </si>
  <si>
    <t>(ARPU - COGS) x avg lifetime</t>
  </si>
  <si>
    <t>LTV — Pro</t>
  </si>
  <si>
    <t>LTV / CAC — Plus</t>
  </si>
  <si>
    <t>Target: &gt;3.0x for healthy SaaS</t>
  </si>
  <si>
    <t>LTV / CAC — Pro</t>
  </si>
  <si>
    <t>CONTRIBUTION MARGIN (PER USER / MONTH)</t>
  </si>
  <si>
    <t>Plus: Revenue per user</t>
  </si>
  <si>
    <t>Plus: COGS per user</t>
  </si>
  <si>
    <t>Plus: Contribution margin</t>
  </si>
  <si>
    <t>Plus: Contribution margin %</t>
  </si>
  <si>
    <t>Pro: Revenue per user</t>
  </si>
  <si>
    <t>Pro: COGS per user</t>
  </si>
  <si>
    <t>Pro: Contribution margin</t>
  </si>
  <si>
    <t>Pro: Contribution margin %</t>
  </si>
  <si>
    <t>SNAPSHOT METRICS (from model)</t>
  </si>
  <si>
    <t>Total Paid</t>
  </si>
  <si>
    <t>MRR</t>
  </si>
  <si>
    <t>ARR</t>
  </si>
  <si>
    <t>Op Margin</t>
  </si>
  <si>
    <t>NRR (monthly)</t>
  </si>
  <si>
    <t>BREAK-EVEN ANALYSIS</t>
  </si>
  <si>
    <t>Plus % of total MAU at break-even</t>
  </si>
  <si>
    <t>Actual model ratio at M15 (~15.9%)</t>
  </si>
  <si>
    <t>Pro % of total MAU at break-even</t>
  </si>
  <si>
    <t>Actual model ratio at M15 (~6.0%)</t>
  </si>
  <si>
    <t>Free % of total MAU (derived)</t>
  </si>
  <si>
    <t>PER-USER ECONOMICS AT BREAK-EVEN MIX</t>
  </si>
  <si>
    <t>Revenue per MAU (monthly)</t>
  </si>
  <si>
    <t>Plus% x ARPU_plus + Pro% x ARPU_pro</t>
  </si>
  <si>
    <t>COGS per MAU (monthly)</t>
  </si>
  <si>
    <t>Free% x COGS_free + Paid% x COGS_paid</t>
  </si>
  <si>
    <t>Marketing cost per MAU (% of rev)</t>
  </si>
  <si>
    <t>Net contribution per MAU</t>
  </si>
  <si>
    <t>Revenue - COGS - Marketing per user per month</t>
  </si>
  <si>
    <t>BREAK-EVEN MAU BY HEADCOUNT PHASE</t>
  </si>
  <si>
    <t>Phase 1 monthly payroll (10 FTEs)</t>
  </si>
  <si>
    <t>Phase 1 fixed OpEx (non-marketing)</t>
  </si>
  <si>
    <t>Phase 1 total monthly fixed costs</t>
  </si>
  <si>
    <t>Break-even MAU (Phase 1)</t>
  </si>
  <si>
    <t>Total users needed to cover Phase 1 costs</t>
  </si>
  <si>
    <t>Phase 2 monthly payroll (18 FTEs)</t>
  </si>
  <si>
    <t>Phase 2 fixed OpEx (non-marketing)</t>
  </si>
  <si>
    <t>Phase 2 total monthly fixed costs</t>
  </si>
  <si>
    <t>Break-even MAU (Phase 2)</t>
  </si>
  <si>
    <t>This is the phase when break-even actually occurs</t>
  </si>
  <si>
    <t>Phase 3 monthly payroll (35 FTEs)</t>
  </si>
  <si>
    <t>Phase 3 fixed OpEx (non-marketing)</t>
  </si>
  <si>
    <t>Phase 3 total monthly fixed costs</t>
  </si>
  <si>
    <t>Break-even MAU (Phase 3)</t>
  </si>
  <si>
    <t>MODEL-DERIVED BREAK-EVEN (from 36-month projection)</t>
  </si>
  <si>
    <t>Months with negative op profit</t>
  </si>
  <si>
    <t>First profitable month (#)</t>
  </si>
  <si>
    <t>Month number where operating profit first &gt;= 0</t>
  </si>
  <si>
    <t>MAU at break-even month</t>
  </si>
  <si>
    <t>Actual user count from model at profitability month</t>
  </si>
  <si>
    <t>Paid users at break-even month</t>
  </si>
  <si>
    <t>Paid % at break-even month</t>
  </si>
  <si>
    <t>MRR at break-even month</t>
  </si>
  <si>
    <t>ARR at break-even month</t>
  </si>
  <si>
    <t>POSEIDON.AI — Cash Flow &amp; Funding</t>
  </si>
  <si>
    <t>Burn Rate, Runway, Seed + Series A</t>
  </si>
  <si>
    <t>OPERATING CASH FLOW</t>
  </si>
  <si>
    <t>Revenue</t>
  </si>
  <si>
    <t>Net Burn / (Profit)</t>
  </si>
  <si>
    <t>FUNDING EVENTS</t>
  </si>
  <si>
    <t>Seed Round</t>
  </si>
  <si>
    <t>Series A</t>
  </si>
  <si>
    <t>Total Funding In</t>
  </si>
  <si>
    <t>CASH POSITION</t>
  </si>
  <si>
    <t>Cash — Beginning of Month</t>
  </si>
  <si>
    <t>Cash In (revenue + funding)</t>
  </si>
  <si>
    <t>Cash Out (costs)</t>
  </si>
  <si>
    <t>Net Cash Flow</t>
  </si>
  <si>
    <t>Cash — End of Month</t>
  </si>
  <si>
    <t>RUNWAY &amp; BURN</t>
  </si>
  <si>
    <t>Runway (months at current burn)</t>
  </si>
  <si>
    <t>Cumulative Net Burn</t>
  </si>
  <si>
    <t>POSEIDON.AI — Financial Dashboard</t>
  </si>
  <si>
    <t>Month</t>
  </si>
  <si>
    <t>Paid Users</t>
  </si>
  <si>
    <t>MRR ($)</t>
  </si>
  <si>
    <t>ARR ($)</t>
  </si>
  <si>
    <t>Cash ($)</t>
  </si>
  <si>
    <t>Op Profit ($)</t>
  </si>
  <si>
    <t>NRR (%)</t>
  </si>
  <si>
    <t>POSEIDON.AI — Slide Metrics Calculation Basis</t>
  </si>
  <si>
    <t>All slide figures should be traceable to formulas in this sheet.</t>
  </si>
  <si>
    <t>SLIDE 9: STRATEGY SUMMARY — Business Model Card</t>
  </si>
  <si>
    <t>Model Value</t>
  </si>
  <si>
    <t>Slide Value</t>
  </si>
  <si>
    <t>Match?</t>
  </si>
  <si>
    <t>Formula / Source</t>
  </si>
  <si>
    <t>Gross Margin (at M12)</t>
  </si>
  <si>
    <t>87%</t>
  </si>
  <si>
    <t>MISMATCH</t>
  </si>
  <si>
    <t>Model: ~74.5% at M12. 87% not reached at any month. Slide needs correction.</t>
  </si>
  <si>
    <t>Gross Margin (at M18)</t>
  </si>
  <si>
    <t>REF</t>
  </si>
  <si>
    <t>76.5% at M18. Max in model is 79.3% at M36.</t>
  </si>
  <si>
    <t>Gross Margin (at M36)</t>
  </si>
  <si>
    <t>79.3% at M36. Theoretical max if COGS goes to $0 = 100%.</t>
  </si>
  <si>
    <t>Op. Break-even Month</t>
  </si>
  <si>
    <t>Month 12</t>
  </si>
  <si>
    <t>Model: M10 is first month with positive OpProfit ($27,526). M9 = -$13,272.</t>
  </si>
  <si>
    <t>Value / Cost — Plus (Customer ROI)</t>
  </si>
  <si>
    <t>Value / Cost — Pro (Customer ROI)</t>
  </si>
  <si>
    <t>Value / Cost — Blended (slide uses this)</t>
  </si>
  <si>
    <t>6x</t>
  </si>
  <si>
    <t>~OK</t>
  </si>
  <si>
    <t>Blended = (5.2x * 16% + 7.5x * 6%) / (16% + 6%) = ~5.8x. Slide rounds to 6x.</t>
  </si>
  <si>
    <t>SLIDE 11: BUSINESS MODEL DETAIL</t>
  </si>
  <si>
    <t>17x</t>
  </si>
  <si>
    <t>Model: 10.0x = LTV $108.61 / CAC $10.85. Slide says 17x.</t>
  </si>
  <si>
    <t>77x</t>
  </si>
  <si>
    <t>Model: 51.0x = LTV $553.02 / CAC $10.85. Slide says 77x.</t>
  </si>
  <si>
    <t xml:space="preserve">  LTV — Plus</t>
  </si>
  <si>
    <t xml:space="preserve">  LTV — Pro</t>
  </si>
  <si>
    <t xml:space="preserve">  Blended CAC</t>
  </si>
  <si>
    <t>Contribution Margin — Plus</t>
  </si>
  <si>
    <t>73%</t>
  </si>
  <si>
    <t>OK</t>
  </si>
  <si>
    <t>Contribution Margin — Pro</t>
  </si>
  <si>
    <t>89%</t>
  </si>
  <si>
    <t>Gross Margin (slide label)</t>
  </si>
  <si>
    <t>86%</t>
  </si>
  <si>
    <t>Model Gross Margin at M12 = 74.5%. 86% is not a model output. Possibly confused with Pro contribution margin (89%).</t>
  </si>
  <si>
    <t>Operating Breakeven Month</t>
  </si>
  <si>
    <t>Month 6</t>
  </si>
  <si>
    <t>Model: M10. M9 OpProfit=-$13,272, M10=+$27,526. Month 6 is incorrect.</t>
  </si>
  <si>
    <t>J-CURVE CHART MILESTONES</t>
  </si>
  <si>
    <t>Monthly Breakeven (OpProfit &gt;= 0)</t>
  </si>
  <si>
    <t>Month where Costs!Row23 first &gt;= 0. M10: OpProfit = $27,526.</t>
  </si>
  <si>
    <t xml:space="preserve">  MRR at Breakeven</t>
  </si>
  <si>
    <t>Revenue!Row8 at breakeven month = $420,277</t>
  </si>
  <si>
    <t xml:space="preserve">  ARR at Breakeven</t>
  </si>
  <si>
    <t>Cumulative Payback (CumBurn &gt;= 0)</t>
  </si>
  <si>
    <t>Month where Cash Flow!Row21 (Cumulative Net Burn) first &gt;= 0. M15: +$202,352.</t>
  </si>
  <si>
    <t>Series A Trigger (MRR &gt;= $300K)</t>
  </si>
  <si>
    <t>Month where MRR first &gt;= $300K. M9: MRR = $338,699.</t>
  </si>
  <si>
    <t>M18 ARR</t>
  </si>
  <si>
    <t>M18 Monthly Op Profit</t>
  </si>
  <si>
    <t>Revenue - Total Costs = $576,600/mo</t>
  </si>
  <si>
    <t>MARKET OPPORTUNITY (requires external sources)</t>
  </si>
  <si>
    <t>TAM — US Personal Finance Software</t>
  </si>
  <si>
    <t>$7B</t>
  </si>
  <si>
    <t>VERIFY</t>
  </si>
  <si>
    <t>Source needed. US personal finance software market. Verify with Statista/IBISWorld.</t>
  </si>
  <si>
    <t>SAM — AI-Native Financial Coordination</t>
  </si>
  <si>
    <t>$1.5B</t>
  </si>
  <si>
    <t>Source needed. Subset of TAM for AI-powered coordination tools. Justify % of TAM.</t>
  </si>
  <si>
    <t>3-Year Revenue Capture (from model)</t>
  </si>
  <si>
    <t>$25M</t>
  </si>
  <si>
    <t>Model cumulative revenue M1-M36 = $83.8M. $25M appears to be ~Year 1+partial Year 2.</t>
  </si>
  <si>
    <t xml:space="preserve">  Year 1 Revenue (M1-M12)</t>
  </si>
  <si>
    <t xml:space="preserve">  Year 2 Revenue (M13-M24)</t>
  </si>
  <si>
    <t xml:space="preserve">  Year 3 Revenue (M25-M36)</t>
  </si>
  <si>
    <t>HEADCOUNT &amp; AI LEVERAGE (Subtitle Basis)</t>
  </si>
  <si>
    <t>Traditional team size (industry benchmark)</t>
  </si>
  <si>
    <t>35</t>
  </si>
  <si>
    <t>INPUT</t>
  </si>
  <si>
    <t>Estimate: comparable fintech at this stage typically needs ~35 FTEs. Source: team judgment.</t>
  </si>
  <si>
    <t>Poseidon team size (Phase 2: M7-M18)</t>
  </si>
  <si>
    <t>18</t>
  </si>
  <si>
    <t>Assumptions sheet: Phase 2 headcount. Model says 12 (M7-M18). Slide says 18.</t>
  </si>
  <si>
    <t>Productivity multiplier</t>
  </si>
  <si>
    <t>~2x</t>
  </si>
  <si>
    <t>DISCREPANCY SUMMARY — ACTION REQUIRED</t>
  </si>
  <si>
    <t>Slide / Metric</t>
  </si>
  <si>
    <t>Recommended Action</t>
  </si>
  <si>
    <t>Slide 9: Gross Margin</t>
  </si>
  <si>
    <t>74.5% (M12)</t>
  </si>
  <si>
    <t>Use contribution margin (73%/89%) or correct to model GM. If "at scale" intended, specify M36 = 79.3%.</t>
  </si>
  <si>
    <t>Slide 9: Op. Break-even</t>
  </si>
  <si>
    <t>Month 10</t>
  </si>
  <si>
    <t>M10 is first month with positive OpProfit. Correct slide to Month 10.</t>
  </si>
  <si>
    <t>Slide 9: Value / Cost</t>
  </si>
  <si>
    <t>~5.8x blended</t>
  </si>
  <si>
    <t>Acceptable rounding. Consider showing 5x/8x (Plus/Pro) or ~6x blended.</t>
  </si>
  <si>
    <t>Slide 11: LTV/CAC Plus</t>
  </si>
  <si>
    <t>10.0x</t>
  </si>
  <si>
    <t>Significant. Correct to 10x. Was 17x calculated with different assumptions?</t>
  </si>
  <si>
    <t>Slide 11: LTV/CAC Pro</t>
  </si>
  <si>
    <t>51.0x</t>
  </si>
  <si>
    <t>Significant. Correct to 51x.</t>
  </si>
  <si>
    <t>Slide 11: Gross Margin</t>
  </si>
  <si>
    <t>Same issue as Slide 9. Correct.</t>
  </si>
  <si>
    <t>Slide 11: Op Profitability</t>
  </si>
  <si>
    <t>Significant. M6 OpProfit = -$67,303. Correct to Month 10.</t>
  </si>
  <si>
    <t>Slide 11: 3-Year Capture</t>
  </si>
  <si>
    <t>$83.8M cumulative</t>
  </si>
  <si>
    <t>If $25M is intentional (conservative), document the basis. Model shows $83.8M.</t>
  </si>
  <si>
    <t>Headcount Phase 2</t>
  </si>
  <si>
    <t>18 FTEs</t>
  </si>
  <si>
    <t>12 FTEs (model)</t>
  </si>
  <si>
    <t>Model Assumptions!C47 shows 12 for M7-M18. If 18 is intended, update model.</t>
  </si>
  <si>
    <t>POSEIDON.AI — Customer Acquisition Cost Analysis</t>
  </si>
  <si>
    <t>Dynamic CAC by Channel, Blended, and Cumulative</t>
  </si>
  <si>
    <t>ACQUISITION INPUTS</t>
  </si>
  <si>
    <t>Marketing &amp; Growth spend</t>
  </si>
  <si>
    <t>CAC BY CHANNEL</t>
  </si>
  <si>
    <t>CAC — Organic (assumption)</t>
  </si>
  <si>
    <t>CAC — Paid (assumption)</t>
  </si>
  <si>
    <t>Organic spend (implied)</t>
  </si>
  <si>
    <t>Paid spend (implied)</t>
  </si>
  <si>
    <t>BLENDED CAC METRICS</t>
  </si>
  <si>
    <t>Blended CAC (assumption-based)</t>
  </si>
  <si>
    <t>Blended CAC (actual: spend ÷ signups)</t>
  </si>
  <si>
    <t>Organic % of signups</t>
  </si>
  <si>
    <t>Paid % of signups</t>
  </si>
  <si>
    <t>Viral % of signups</t>
  </si>
  <si>
    <t>CUMULATIVE CAC</t>
  </si>
  <si>
    <t>Cumulative marketing spend</t>
  </si>
  <si>
    <t>Cumulative new signups</t>
  </si>
  <si>
    <t>Cumulative CAC (spend ÷ signups)</t>
  </si>
  <si>
    <t>CAC EFFICIENCY</t>
  </si>
  <si>
    <t>Total paid users</t>
  </si>
  <si>
    <t>Marketing spend per paid user</t>
  </si>
  <si>
    <t>LTV / CAC — Plus (actual CAC)</t>
  </si>
  <si>
    <t>x</t>
  </si>
  <si>
    <t>LTV / CAC — Pro (actual CAC)</t>
  </si>
  <si>
    <t>K-factor decay (monthly)</t>
  </si>
  <si>
    <t>Monthly multiplier on K; 0.98 = halves over ~35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</si>
</sst>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\$#,##0"/>
    <numFmt numFmtId="165" formatCode="\$#,##0.00"/>
    <numFmt numFmtId="166" formatCode="0.0%"/>
    <numFmt numFmtId="167" formatCode="0.000"/>
    <numFmt numFmtId="168" formatCode="\$#,##0;\(\$#,##0\);&quot;-&quot;"/>
    <numFmt numFmtId="169" formatCode="0.0"/>
    <numFmt numFmtId="170" formatCode="0.0\x"/>
    <numFmt numFmtId="171" formatCode="\$#,##0.000"/>
    <numFmt numFmtId="172" formatCode="0.0&quot;x&quot;"/>
    <numFmt numFmtId="173" formatCode="&quot;M&quot;0"/>
    <numFmt numFmtId="174" formatCode="\$#,##0,,&quot;M&quot;"/>
    <numFmt numFmtId="175" formatCode="\$#,##0.0,,&quot;B&quot;"/>
    <numFmt numFmtId="178" formatCode="&quot;$&quot;#,##0"/>
    <numFmt numFmtId="179" formatCode="&quot;$&quot;#,##0.00"/>
  </numFmts>
  <fonts count="27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i/>
      <sz val="10"/>
      <color rgb="FF666666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sz val="9"/>
      <color rgb="FF666666"/>
      <name val="Arial"/>
      <family val="2"/>
    </font>
    <font>
      <i/>
      <sz val="9"/>
      <color rgb="FF888888"/>
      <name val="Arial"/>
      <family val="2"/>
    </font>
    <font>
      <sz val="9"/>
      <color rgb="FF888888"/>
      <name val="Arial"/>
      <family val="2"/>
    </font>
    <font>
      <b/>
      <sz val="10"/>
      <color rgb="FFFFFFFF"/>
      <name val="Arial"/>
      <family val="2"/>
    </font>
    <font>
      <sz val="10"/>
      <color rgb="FF008000"/>
      <name val="Arial"/>
      <family val="2"/>
    </font>
    <font>
      <b/>
      <sz val="11"/>
      <name val="Calibri"/>
      <family val="2"/>
    </font>
    <font>
      <b/>
      <sz val="14"/>
      <color rgb="FF0D9488"/>
      <name val="Arial"/>
      <family val="2"/>
    </font>
    <font>
      <i/>
      <sz val="9"/>
      <color rgb="FF666666"/>
      <name val="Arial"/>
      <family val="2"/>
    </font>
    <font>
      <b/>
      <sz val="11"/>
      <color rgb="FF1E293B"/>
      <name val="Arial"/>
      <family val="2"/>
    </font>
    <font>
      <sz val="10"/>
      <color rgb="FF333333"/>
      <name val="Arial"/>
      <family val="2"/>
    </font>
    <font>
      <b/>
      <sz val="10"/>
      <color rgb="FFFF0000"/>
      <name val="Arial"/>
      <family val="2"/>
    </font>
    <font>
      <b/>
      <sz val="10"/>
      <color rgb="FFD97706"/>
      <name val="Arial"/>
      <family val="2"/>
    </font>
    <font>
      <b/>
      <sz val="10"/>
      <color rgb="FF008000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00800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rgb="FFE8F0FE"/>
      </patternFill>
    </fill>
    <fill>
      <patternFill patternType="solid">
        <fgColor rgb="FF0B1221"/>
      </patternFill>
    </fill>
    <fill>
      <patternFill patternType="solid">
        <fgColor rgb="FFE2F0F0"/>
      </patternFill>
    </fill>
    <fill>
      <patternFill patternType="solid">
        <fgColor rgb="FFFFF0F0"/>
      </patternFill>
    </fill>
    <fill>
      <patternFill patternType="solid">
        <fgColor rgb="FFFFFFF0"/>
      </patternFill>
    </fill>
    <fill>
      <patternFill patternType="solid">
        <fgColor rgb="FFF0FFF0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B1221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FFFDE7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1" xfId="0" applyFont="1" applyBorder="1"/>
    <xf numFmtId="0" fontId="5" fillId="0" borderId="0" xfId="0" applyFont="1"/>
    <xf numFmtId="164" fontId="6" fillId="0" borderId="0" xfId="0" applyNumberFormat="1" applyFont="1"/>
    <xf numFmtId="0" fontId="7" fillId="0" borderId="0" xfId="0" applyFont="1"/>
    <xf numFmtId="165" fontId="6" fillId="0" borderId="0" xfId="0" applyNumberFormat="1" applyFont="1"/>
    <xf numFmtId="165" fontId="5" fillId="0" borderId="0" xfId="0" applyNumberFormat="1" applyFont="1"/>
    <xf numFmtId="3" fontId="6" fillId="0" borderId="0" xfId="0" applyNumberFormat="1" applyFont="1"/>
    <xf numFmtId="0" fontId="8" fillId="0" borderId="0" xfId="0" applyFont="1"/>
    <xf numFmtId="166" fontId="6" fillId="0" borderId="0" xfId="0" applyNumberFormat="1" applyFont="1"/>
    <xf numFmtId="10" fontId="6" fillId="0" borderId="0" xfId="0" applyNumberFormat="1" applyFont="1"/>
    <xf numFmtId="167" fontId="6" fillId="0" borderId="0" xfId="0" applyNumberFormat="1" applyFont="1"/>
    <xf numFmtId="0" fontId="9" fillId="0" borderId="0" xfId="0" applyFont="1"/>
    <xf numFmtId="0" fontId="4" fillId="0" borderId="0" xfId="0" applyFont="1"/>
    <xf numFmtId="3" fontId="4" fillId="0" borderId="0" xfId="0" applyNumberFormat="1" applyFont="1"/>
    <xf numFmtId="0" fontId="10" fillId="3" borderId="0" xfId="0" applyFont="1" applyFill="1"/>
    <xf numFmtId="0" fontId="10" fillId="3" borderId="0" xfId="0" applyFont="1" applyFill="1" applyAlignment="1">
      <alignment horizontal="center"/>
    </xf>
    <xf numFmtId="3" fontId="11" fillId="0" borderId="0" xfId="0" applyNumberFormat="1" applyFont="1"/>
    <xf numFmtId="3" fontId="5" fillId="0" borderId="0" xfId="0" applyNumberFormat="1" applyFont="1"/>
    <xf numFmtId="166" fontId="5" fillId="0" borderId="0" xfId="0" applyNumberFormat="1" applyFont="1"/>
    <xf numFmtId="164" fontId="11" fillId="0" borderId="0" xfId="0" applyNumberFormat="1" applyFont="1"/>
    <xf numFmtId="164" fontId="4" fillId="0" borderId="0" xfId="0" applyNumberFormat="1" applyFont="1"/>
    <xf numFmtId="168" fontId="11" fillId="0" borderId="0" xfId="0" applyNumberFormat="1" applyFont="1"/>
    <xf numFmtId="168" fontId="4" fillId="0" borderId="0" xfId="0" applyNumberFormat="1" applyFont="1"/>
    <xf numFmtId="164" fontId="5" fillId="0" borderId="0" xfId="0" applyNumberFormat="1" applyFont="1"/>
    <xf numFmtId="165" fontId="11" fillId="0" borderId="0" xfId="0" applyNumberFormat="1" applyFont="1"/>
    <xf numFmtId="166" fontId="11" fillId="0" borderId="0" xfId="0" applyNumberFormat="1" applyFont="1"/>
    <xf numFmtId="169" fontId="5" fillId="0" borderId="0" xfId="0" applyNumberFormat="1" applyFont="1"/>
    <xf numFmtId="170" fontId="5" fillId="0" borderId="0" xfId="0" applyNumberFormat="1" applyFont="1"/>
    <xf numFmtId="0" fontId="4" fillId="2" borderId="0" xfId="0" applyFont="1" applyFill="1"/>
    <xf numFmtId="0" fontId="5" fillId="2" borderId="0" xfId="0" applyFont="1" applyFill="1"/>
    <xf numFmtId="171" fontId="5" fillId="0" borderId="0" xfId="0" applyNumberFormat="1" applyFont="1"/>
    <xf numFmtId="171" fontId="11" fillId="0" borderId="0" xfId="0" applyNumberFormat="1" applyFont="1"/>
    <xf numFmtId="1" fontId="5" fillId="0" borderId="0" xfId="0" applyNumberFormat="1" applyFont="1"/>
    <xf numFmtId="168" fontId="5" fillId="0" borderId="0" xfId="0" applyNumberFormat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3" fillId="4" borderId="0" xfId="0" applyFont="1" applyFill="1"/>
    <xf numFmtId="0" fontId="0" fillId="4" borderId="0" xfId="0" applyFill="1"/>
    <xf numFmtId="0" fontId="15" fillId="0" borderId="2" xfId="0" applyFont="1" applyBorder="1"/>
    <xf numFmtId="0" fontId="16" fillId="0" borderId="0" xfId="0" applyFont="1"/>
    <xf numFmtId="0" fontId="6" fillId="0" borderId="0" xfId="0" applyFont="1"/>
    <xf numFmtId="0" fontId="17" fillId="5" borderId="0" xfId="0" applyFont="1" applyFill="1"/>
    <xf numFmtId="0" fontId="14" fillId="6" borderId="0" xfId="0" applyFont="1" applyFill="1"/>
    <xf numFmtId="1" fontId="11" fillId="0" borderId="0" xfId="0" applyNumberFormat="1" applyFont="1"/>
    <xf numFmtId="172" fontId="11" fillId="0" borderId="0" xfId="0" applyNumberFormat="1" applyFont="1"/>
    <xf numFmtId="172" fontId="5" fillId="0" borderId="0" xfId="0" applyNumberFormat="1" applyFont="1"/>
    <xf numFmtId="0" fontId="18" fillId="6" borderId="0" xfId="0" applyFont="1" applyFill="1"/>
    <xf numFmtId="0" fontId="19" fillId="7" borderId="0" xfId="0" applyFont="1" applyFill="1"/>
    <xf numFmtId="173" fontId="11" fillId="0" borderId="0" xfId="0" applyNumberFormat="1" applyFont="1"/>
    <xf numFmtId="173" fontId="5" fillId="0" borderId="0" xfId="0" applyNumberFormat="1" applyFont="1"/>
    <xf numFmtId="174" fontId="5" fillId="0" borderId="0" xfId="0" applyNumberFormat="1" applyFont="1"/>
    <xf numFmtId="0" fontId="11" fillId="0" borderId="0" xfId="0" applyFont="1"/>
    <xf numFmtId="0" fontId="17" fillId="0" borderId="0" xfId="0" applyFont="1"/>
    <xf numFmtId="173" fontId="5" fillId="8" borderId="0" xfId="0" applyNumberFormat="1" applyFont="1" applyFill="1"/>
    <xf numFmtId="166" fontId="11" fillId="8" borderId="0" xfId="0" applyNumberFormat="1" applyFont="1" applyFill="1"/>
    <xf numFmtId="1" fontId="11" fillId="8" borderId="0" xfId="0" applyNumberFormat="1" applyFont="1" applyFill="1"/>
    <xf numFmtId="172" fontId="5" fillId="8" borderId="0" xfId="0" applyNumberFormat="1" applyFont="1" applyFill="1"/>
    <xf numFmtId="0" fontId="6" fillId="9" borderId="0" xfId="0" applyFont="1" applyFill="1"/>
    <xf numFmtId="175" fontId="6" fillId="9" borderId="0" xfId="0" applyNumberFormat="1" applyFont="1" applyFill="1"/>
    <xf numFmtId="174" fontId="11" fillId="9" borderId="0" xfId="0" applyNumberFormat="1" applyFont="1" applyFill="1"/>
    <xf numFmtId="0" fontId="20" fillId="0" borderId="0" xfId="0" applyFont="1"/>
    <xf numFmtId="0" fontId="10" fillId="10" borderId="0" xfId="0" applyFont="1" applyFill="1"/>
    <xf numFmtId="0" fontId="10" fillId="10" borderId="0" xfId="0" applyFont="1" applyFill="1" applyAlignment="1">
      <alignment horizontal="center"/>
    </xf>
    <xf numFmtId="0" fontId="21" fillId="11" borderId="0" xfId="0" applyFont="1" applyFill="1"/>
    <xf numFmtId="0" fontId="0" fillId="11" borderId="0" xfId="0" applyFill="1"/>
    <xf numFmtId="0" fontId="22" fillId="0" borderId="0" xfId="0" applyFont="1"/>
    <xf numFmtId="0" fontId="23" fillId="0" borderId="0" xfId="0" applyFont="1"/>
    <xf numFmtId="3" fontId="0" fillId="0" borderId="0" xfId="0" applyNumberFormat="1"/>
    <xf numFmtId="178" fontId="0" fillId="0" borderId="0" xfId="0" applyNumberFormat="1"/>
    <xf numFmtId="3" fontId="24" fillId="0" borderId="0" xfId="0" applyNumberFormat="1" applyFont="1"/>
    <xf numFmtId="178" fontId="24" fillId="0" borderId="0" xfId="0" applyNumberFormat="1" applyFont="1"/>
    <xf numFmtId="179" fontId="0" fillId="0" borderId="0" xfId="0" applyNumberFormat="1"/>
    <xf numFmtId="179" fontId="24" fillId="0" borderId="0" xfId="0" applyNumberFormat="1" applyFont="1"/>
    <xf numFmtId="166" fontId="0" fillId="0" borderId="0" xfId="0" applyNumberFormat="1"/>
    <xf numFmtId="0" fontId="23" fillId="12" borderId="0" xfId="0" applyFont="1" applyFill="1"/>
    <xf numFmtId="179" fontId="0" fillId="12" borderId="0" xfId="0" applyNumberFormat="1" applyFill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User Growth (MAU)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Dashboard!$A$4</c:f>
              <c:strCache>
                <c:ptCount val="1"/>
                <c:pt idx="0">
                  <c:v>Total MAU</c:v>
                </c:pt>
              </c:strCache>
            </c:strRef>
          </c:tx>
          <c:spPr>
            <a:ln>
              <a:solidFill>
                <a:srgbClr val="00F0FF"/>
              </a:solidFill>
              <a:prstDash val="solid"/>
            </a:ln>
          </c:spPr>
          <c:marker>
            <c:symbol val="none"/>
          </c:marker>
          <c:cat>
            <c:strRef>
              <c:f>Dashboard!$B$3:$AK$3</c:f>
              <c:strCache>
                <c:ptCount val="36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  <c:pt idx="24">
                  <c:v>M25</c:v>
                </c:pt>
                <c:pt idx="25">
                  <c:v>M26</c:v>
                </c:pt>
                <c:pt idx="26">
                  <c:v>M27</c:v>
                </c:pt>
                <c:pt idx="27">
                  <c:v>M28</c:v>
                </c:pt>
                <c:pt idx="28">
                  <c:v>M29</c:v>
                </c:pt>
                <c:pt idx="29">
                  <c:v>M30</c:v>
                </c:pt>
                <c:pt idx="30">
                  <c:v>M31</c:v>
                </c:pt>
                <c:pt idx="31">
                  <c:v>M32</c:v>
                </c:pt>
                <c:pt idx="32">
                  <c:v>M33</c:v>
                </c:pt>
                <c:pt idx="33">
                  <c:v>M34</c:v>
                </c:pt>
                <c:pt idx="34">
                  <c:v>M35</c:v>
                </c:pt>
                <c:pt idx="35">
                  <c:v>M36</c:v>
                </c:pt>
              </c:strCache>
            </c:strRef>
          </c:cat>
          <c:val>
            <c:numRef>
              <c:f>Dashboard!$B$4:$AK$4</c:f>
              <c:numCache>
                <c:formatCode>#,##0</c:formatCode>
                <c:ptCount val="36"/>
                <c:pt idx="0">
                  <c:v>9639</c:v>
                </c:pt>
                <c:pt idx="1">
                  <c:v>20109</c:v>
                </c:pt>
                <c:pt idx="2">
                  <c:v>31431</c:v>
                </c:pt>
                <c:pt idx="3">
                  <c:v>43617</c:v>
                </c:pt>
                <c:pt idx="4">
                  <c:v>56678</c:v>
                </c:pt>
                <c:pt idx="5">
                  <c:v>70619</c:v>
                </c:pt>
                <c:pt idx="6">
                  <c:v>85440</c:v>
                </c:pt>
                <c:pt idx="7">
                  <c:v>101135</c:v>
                </c:pt>
                <c:pt idx="8">
                  <c:v>117695</c:v>
                </c:pt>
                <c:pt idx="9">
                  <c:v>135103</c:v>
                </c:pt>
                <c:pt idx="10">
                  <c:v>153341</c:v>
                </c:pt>
                <c:pt idx="11">
                  <c:v>172386</c:v>
                </c:pt>
                <c:pt idx="12">
                  <c:v>192209</c:v>
                </c:pt>
                <c:pt idx="13">
                  <c:v>212778</c:v>
                </c:pt>
                <c:pt idx="14">
                  <c:v>234058</c:v>
                </c:pt>
                <c:pt idx="15">
                  <c:v>256013</c:v>
                </c:pt>
                <c:pt idx="16">
                  <c:v>278599</c:v>
                </c:pt>
                <c:pt idx="17">
                  <c:v>301772</c:v>
                </c:pt>
                <c:pt idx="18">
                  <c:v>325487</c:v>
                </c:pt>
                <c:pt idx="19">
                  <c:v>349697</c:v>
                </c:pt>
                <c:pt idx="20">
                  <c:v>374352</c:v>
                </c:pt>
                <c:pt idx="21">
                  <c:v>399402</c:v>
                </c:pt>
                <c:pt idx="22">
                  <c:v>424797</c:v>
                </c:pt>
                <c:pt idx="23">
                  <c:v>450483</c:v>
                </c:pt>
                <c:pt idx="24">
                  <c:v>476412</c:v>
                </c:pt>
                <c:pt idx="25">
                  <c:v>502530</c:v>
                </c:pt>
                <c:pt idx="26">
                  <c:v>528789</c:v>
                </c:pt>
                <c:pt idx="27">
                  <c:v>555137</c:v>
                </c:pt>
                <c:pt idx="28">
                  <c:v>581527</c:v>
                </c:pt>
                <c:pt idx="29">
                  <c:v>607909</c:v>
                </c:pt>
                <c:pt idx="30">
                  <c:v>634239</c:v>
                </c:pt>
                <c:pt idx="31">
                  <c:v>660471</c:v>
                </c:pt>
                <c:pt idx="32">
                  <c:v>686563</c:v>
                </c:pt>
                <c:pt idx="33">
                  <c:v>712474</c:v>
                </c:pt>
                <c:pt idx="34">
                  <c:v>738165</c:v>
                </c:pt>
                <c:pt idx="35">
                  <c:v>763599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EC4-D448-AEB4-DDE5BEECB052}"/>
            </c:ext>
          </c:extLst>
        </c:ser>
        <c:ser>
          <c:idx val="1"/>
          <c:order val="1"/>
          <c:tx>
            <c:strRef>
              <c:f>Dashboard!$A$5</c:f>
              <c:strCache>
                <c:ptCount val="1"/>
                <c:pt idx="0">
                  <c:v>Paid Users</c:v>
                </c:pt>
              </c:strCache>
            </c:strRef>
          </c:tx>
          <c:spPr>
            <a:ln>
              <a:solidFill>
                <a:srgbClr val="8B5CF6"/>
              </a:solidFill>
              <a:prstDash val="solid"/>
            </a:ln>
          </c:spPr>
          <c:marker>
            <c:symbol val="none"/>
          </c:marker>
          <c:cat>
            <c:strRef>
              <c:f>Dashboard!$B$3:$AK$3</c:f>
              <c:strCache>
                <c:ptCount val="36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  <c:pt idx="24">
                  <c:v>M25</c:v>
                </c:pt>
                <c:pt idx="25">
                  <c:v>M26</c:v>
                </c:pt>
                <c:pt idx="26">
                  <c:v>M27</c:v>
                </c:pt>
                <c:pt idx="27">
                  <c:v>M28</c:v>
                </c:pt>
                <c:pt idx="28">
                  <c:v>M29</c:v>
                </c:pt>
                <c:pt idx="29">
                  <c:v>M30</c:v>
                </c:pt>
                <c:pt idx="30">
                  <c:v>M31</c:v>
                </c:pt>
                <c:pt idx="31">
                  <c:v>M32</c:v>
                </c:pt>
                <c:pt idx="32">
                  <c:v>M33</c:v>
                </c:pt>
                <c:pt idx="33">
                  <c:v>M34</c:v>
                </c:pt>
                <c:pt idx="34">
                  <c:v>M35</c:v>
                </c:pt>
                <c:pt idx="35">
                  <c:v>M36</c:v>
                </c:pt>
              </c:strCache>
            </c:strRef>
          </c:cat>
          <c:val>
            <c:numRef>
              <c:f>Dashboard!$B$5:$AK$5</c:f>
              <c:numCache>
                <c:formatCode>#,##0</c:formatCode>
                <c:ptCount val="36"/>
                <c:pt idx="0">
                  <c:v>431</c:v>
                </c:pt>
                <c:pt idx="1">
                  <c:v>1291</c:v>
                </c:pt>
                <c:pt idx="2">
                  <c:v>2580</c:v>
                </c:pt>
                <c:pt idx="3">
                  <c:v>4299</c:v>
                </c:pt>
                <c:pt idx="4">
                  <c:v>6449</c:v>
                </c:pt>
                <c:pt idx="5">
                  <c:v>9032</c:v>
                </c:pt>
                <c:pt idx="6">
                  <c:v>12048</c:v>
                </c:pt>
                <c:pt idx="7">
                  <c:v>15501</c:v>
                </c:pt>
                <c:pt idx="8">
                  <c:v>19390</c:v>
                </c:pt>
                <c:pt idx="9">
                  <c:v>23715</c:v>
                </c:pt>
                <c:pt idx="10">
                  <c:v>28476</c:v>
                </c:pt>
                <c:pt idx="11">
                  <c:v>33672</c:v>
                </c:pt>
                <c:pt idx="12">
                  <c:v>39299</c:v>
                </c:pt>
                <c:pt idx="13">
                  <c:v>45355</c:v>
                </c:pt>
                <c:pt idx="14">
                  <c:v>51833</c:v>
                </c:pt>
                <c:pt idx="15">
                  <c:v>58730</c:v>
                </c:pt>
                <c:pt idx="16">
                  <c:v>66037</c:v>
                </c:pt>
                <c:pt idx="17">
                  <c:v>73745</c:v>
                </c:pt>
                <c:pt idx="18">
                  <c:v>81845</c:v>
                </c:pt>
                <c:pt idx="19">
                  <c:v>90326</c:v>
                </c:pt>
                <c:pt idx="20">
                  <c:v>99177</c:v>
                </c:pt>
                <c:pt idx="21">
                  <c:v>108383</c:v>
                </c:pt>
                <c:pt idx="22">
                  <c:v>117931</c:v>
                </c:pt>
                <c:pt idx="23">
                  <c:v>127804</c:v>
                </c:pt>
                <c:pt idx="24">
                  <c:v>137988</c:v>
                </c:pt>
                <c:pt idx="25">
                  <c:v>148464</c:v>
                </c:pt>
                <c:pt idx="26">
                  <c:v>159215</c:v>
                </c:pt>
                <c:pt idx="27">
                  <c:v>170222</c:v>
                </c:pt>
                <c:pt idx="28">
                  <c:v>181468</c:v>
                </c:pt>
                <c:pt idx="29">
                  <c:v>192931</c:v>
                </c:pt>
                <c:pt idx="30">
                  <c:v>204593</c:v>
                </c:pt>
                <c:pt idx="31">
                  <c:v>216434</c:v>
                </c:pt>
                <c:pt idx="32">
                  <c:v>228432</c:v>
                </c:pt>
                <c:pt idx="33">
                  <c:v>240569</c:v>
                </c:pt>
                <c:pt idx="34">
                  <c:v>252823</c:v>
                </c:pt>
                <c:pt idx="35">
                  <c:v>265175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EC4-D448-AEB4-DDE5BEECB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Users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MRR &amp; ARR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Dashboard!$A$6</c:f>
              <c:strCache>
                <c:ptCount val="1"/>
                <c:pt idx="0">
                  <c:v>MRR ($)</c:v>
                </c:pt>
              </c:strCache>
            </c:strRef>
          </c:tx>
          <c:spPr>
            <a:ln>
              <a:solidFill>
                <a:srgbClr val="14B8A6"/>
              </a:solidFill>
              <a:prstDash val="solid"/>
            </a:ln>
          </c:spPr>
          <c:marker>
            <c:symbol val="none"/>
          </c:marker>
          <c:cat>
            <c:strRef>
              <c:f>Dashboard!$B$3:$AK$3</c:f>
              <c:strCache>
                <c:ptCount val="36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  <c:pt idx="24">
                  <c:v>M25</c:v>
                </c:pt>
                <c:pt idx="25">
                  <c:v>M26</c:v>
                </c:pt>
                <c:pt idx="26">
                  <c:v>M27</c:v>
                </c:pt>
                <c:pt idx="27">
                  <c:v>M28</c:v>
                </c:pt>
                <c:pt idx="28">
                  <c:v>M29</c:v>
                </c:pt>
                <c:pt idx="29">
                  <c:v>M30</c:v>
                </c:pt>
                <c:pt idx="30">
                  <c:v>M31</c:v>
                </c:pt>
                <c:pt idx="31">
                  <c:v>M32</c:v>
                </c:pt>
                <c:pt idx="32">
                  <c:v>M33</c:v>
                </c:pt>
                <c:pt idx="33">
                  <c:v>M34</c:v>
                </c:pt>
                <c:pt idx="34">
                  <c:v>M35</c:v>
                </c:pt>
                <c:pt idx="35">
                  <c:v>M36</c:v>
                </c:pt>
              </c:strCache>
            </c:strRef>
          </c:cat>
          <c:val>
            <c:numRef>
              <c:f>Dashboard!$B$6:$AK$6</c:f>
              <c:numCache>
                <c:formatCode>\$#,##0</c:formatCode>
                <c:ptCount val="36"/>
                <c:pt idx="0">
                  <c:v>4184.7116999999998</c:v>
                </c:pt>
                <c:pt idx="1">
                  <c:v>12650.8737</c:v>
                </c:pt>
                <c:pt idx="2">
                  <c:v>25454.286</c:v>
                </c:pt>
                <c:pt idx="3">
                  <c:v>42702.819300000003</c:v>
                </c:pt>
                <c:pt idx="4">
                  <c:v>64470.864300000001</c:v>
                </c:pt>
                <c:pt idx="5">
                  <c:v>90851.402399999992</c:v>
                </c:pt>
                <c:pt idx="6">
                  <c:v>121922.55359999998</c:v>
                </c:pt>
                <c:pt idx="7">
                  <c:v>157781.0007</c:v>
                </c:pt>
                <c:pt idx="8">
                  <c:v>198486.27299999999</c:v>
                </c:pt>
                <c:pt idx="9">
                  <c:v>244094.17050000001</c:v>
                </c:pt>
                <c:pt idx="10">
                  <c:v>294660.49320000003</c:v>
                </c:pt>
                <c:pt idx="11">
                  <c:v>350222.45039999997</c:v>
                </c:pt>
                <c:pt idx="12">
                  <c:v>410806.11930000002</c:v>
                </c:pt>
                <c:pt idx="13">
                  <c:v>476430.11849999998</c:v>
                </c:pt>
                <c:pt idx="14">
                  <c:v>547064.75309999997</c:v>
                </c:pt>
                <c:pt idx="15">
                  <c:v>622732.37099999993</c:v>
                </c:pt>
                <c:pt idx="16">
                  <c:v>703366.09589999996</c:v>
                </c:pt>
                <c:pt idx="17">
                  <c:v>788921.37150000001</c:v>
                </c:pt>
                <c:pt idx="18">
                  <c:v>879342.48149999999</c:v>
                </c:pt>
                <c:pt idx="19">
                  <c:v>974536.52819999994</c:v>
                </c:pt>
                <c:pt idx="20">
                  <c:v>1074432.9338999998</c:v>
                </c:pt>
                <c:pt idx="21">
                  <c:v>1178897.9180999999</c:v>
                </c:pt>
                <c:pt idx="22">
                  <c:v>1287812.5617</c:v>
                </c:pt>
                <c:pt idx="23">
                  <c:v>1401028.2227999999</c:v>
                </c:pt>
                <c:pt idx="24">
                  <c:v>1518418.5515999999</c:v>
                </c:pt>
                <c:pt idx="25">
                  <c:v>1639808.8847999999</c:v>
                </c:pt>
                <c:pt idx="26">
                  <c:v>1765017.1004999999</c:v>
                </c:pt>
                <c:pt idx="27">
                  <c:v>1893868.5353999999</c:v>
                </c:pt>
                <c:pt idx="28">
                  <c:v>2026181.0675999997</c:v>
                </c:pt>
                <c:pt idx="29">
                  <c:v>2161724.2616999997</c:v>
                </c:pt>
                <c:pt idx="30">
                  <c:v>2300319.7250999999</c:v>
                </c:pt>
                <c:pt idx="31">
                  <c:v>2441751.8838</c:v>
                </c:pt>
                <c:pt idx="32">
                  <c:v>2585790.3023999999</c:v>
                </c:pt>
                <c:pt idx="33">
                  <c:v>2732223.1082999995</c:v>
                </c:pt>
                <c:pt idx="34">
                  <c:v>2880819.8660999998</c:v>
                </c:pt>
                <c:pt idx="35">
                  <c:v>3031361.2725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CD5-C647-ADCB-3788C9A73E58}"/>
            </c:ext>
          </c:extLst>
        </c:ser>
        <c:ser>
          <c:idx val="1"/>
          <c:order val="1"/>
          <c:tx>
            <c:strRef>
              <c:f>Dashboard!$A$7</c:f>
              <c:strCache>
                <c:ptCount val="1"/>
                <c:pt idx="0">
                  <c:v>ARR ($)</c:v>
                </c:pt>
              </c:strCache>
            </c:strRef>
          </c:tx>
          <c:spPr>
            <a:ln>
              <a:solidFill>
                <a:srgbClr val="8B5CF6"/>
              </a:solidFill>
              <a:prstDash val="solid"/>
            </a:ln>
          </c:spPr>
          <c:marker>
            <c:symbol val="none"/>
          </c:marker>
          <c:cat>
            <c:strRef>
              <c:f>Dashboard!$B$3:$AK$3</c:f>
              <c:strCache>
                <c:ptCount val="36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  <c:pt idx="24">
                  <c:v>M25</c:v>
                </c:pt>
                <c:pt idx="25">
                  <c:v>M26</c:v>
                </c:pt>
                <c:pt idx="26">
                  <c:v>M27</c:v>
                </c:pt>
                <c:pt idx="27">
                  <c:v>M28</c:v>
                </c:pt>
                <c:pt idx="28">
                  <c:v>M29</c:v>
                </c:pt>
                <c:pt idx="29">
                  <c:v>M30</c:v>
                </c:pt>
                <c:pt idx="30">
                  <c:v>M31</c:v>
                </c:pt>
                <c:pt idx="31">
                  <c:v>M32</c:v>
                </c:pt>
                <c:pt idx="32">
                  <c:v>M33</c:v>
                </c:pt>
                <c:pt idx="33">
                  <c:v>M34</c:v>
                </c:pt>
                <c:pt idx="34">
                  <c:v>M35</c:v>
                </c:pt>
                <c:pt idx="35">
                  <c:v>M36</c:v>
                </c:pt>
              </c:strCache>
            </c:strRef>
          </c:cat>
          <c:val>
            <c:numRef>
              <c:f>Dashboard!$B$7:$AK$7</c:f>
              <c:numCache>
                <c:formatCode>\$#,##0</c:formatCode>
                <c:ptCount val="36"/>
                <c:pt idx="0">
                  <c:v>50216.540399999998</c:v>
                </c:pt>
                <c:pt idx="1">
                  <c:v>151810.48440000002</c:v>
                </c:pt>
                <c:pt idx="2">
                  <c:v>305451.43200000003</c:v>
                </c:pt>
                <c:pt idx="3">
                  <c:v>512433.83160000003</c:v>
                </c:pt>
                <c:pt idx="4">
                  <c:v>773650.37159999995</c:v>
                </c:pt>
                <c:pt idx="5">
                  <c:v>1090216.8287999998</c:v>
                </c:pt>
                <c:pt idx="6">
                  <c:v>1463070.6431999998</c:v>
                </c:pt>
                <c:pt idx="7">
                  <c:v>1893372.0084000002</c:v>
                </c:pt>
                <c:pt idx="8">
                  <c:v>2381835.2759999996</c:v>
                </c:pt>
                <c:pt idx="9">
                  <c:v>2929130.0460000001</c:v>
                </c:pt>
                <c:pt idx="10">
                  <c:v>3535925.9184000003</c:v>
                </c:pt>
                <c:pt idx="11">
                  <c:v>4202669.4047999997</c:v>
                </c:pt>
                <c:pt idx="12">
                  <c:v>4929673.4316000007</c:v>
                </c:pt>
                <c:pt idx="13">
                  <c:v>5717161.4220000003</c:v>
                </c:pt>
                <c:pt idx="14">
                  <c:v>6564777.0372000001</c:v>
                </c:pt>
                <c:pt idx="15">
                  <c:v>7472788.4519999996</c:v>
                </c:pt>
                <c:pt idx="16">
                  <c:v>8440393.150799999</c:v>
                </c:pt>
                <c:pt idx="17">
                  <c:v>9467056.4580000006</c:v>
                </c:pt>
                <c:pt idx="18">
                  <c:v>10552109.778000001</c:v>
                </c:pt>
                <c:pt idx="19">
                  <c:v>11694438.338399999</c:v>
                </c:pt>
                <c:pt idx="20">
                  <c:v>12893195.206799999</c:v>
                </c:pt>
                <c:pt idx="21">
                  <c:v>14146775.017199999</c:v>
                </c:pt>
                <c:pt idx="22">
                  <c:v>15453750.7404</c:v>
                </c:pt>
                <c:pt idx="23">
                  <c:v>16812338.673599999</c:v>
                </c:pt>
                <c:pt idx="24">
                  <c:v>18221022.619199999</c:v>
                </c:pt>
                <c:pt idx="25">
                  <c:v>19677706.617599998</c:v>
                </c:pt>
                <c:pt idx="26">
                  <c:v>21180205.206</c:v>
                </c:pt>
                <c:pt idx="27">
                  <c:v>22726422.424800001</c:v>
                </c:pt>
                <c:pt idx="28">
                  <c:v>24314172.811199997</c:v>
                </c:pt>
                <c:pt idx="29">
                  <c:v>25940691.140399996</c:v>
                </c:pt>
                <c:pt idx="30">
                  <c:v>27603836.701200001</c:v>
                </c:pt>
                <c:pt idx="31">
                  <c:v>29301022.605599999</c:v>
                </c:pt>
                <c:pt idx="32">
                  <c:v>31029483.628799997</c:v>
                </c:pt>
                <c:pt idx="33">
                  <c:v>32786677.299599994</c:v>
                </c:pt>
                <c:pt idx="34">
                  <c:v>34569838.393199995</c:v>
                </c:pt>
                <c:pt idx="35">
                  <c:v>36376335.269999996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CD5-C647-ADCB-3788C9A73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Dollars ($)</a:t>
                </a:r>
              </a:p>
            </c:rich>
          </c:tx>
          <c:overlay val="1"/>
        </c:title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Cash Position &amp; Operating Profit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Dashboard!$A$8</c:f>
              <c:strCache>
                <c:ptCount val="1"/>
                <c:pt idx="0">
                  <c:v>Cash ($)</c:v>
                </c:pt>
              </c:strCache>
            </c:strRef>
          </c:tx>
          <c:spPr>
            <a:ln>
              <a:solidFill>
                <a:srgbClr val="3B82F6"/>
              </a:solidFill>
              <a:prstDash val="solid"/>
            </a:ln>
          </c:spPr>
          <c:marker>
            <c:symbol val="none"/>
          </c:marker>
          <c:cat>
            <c:strRef>
              <c:f>Dashboard!$B$3:$AK$3</c:f>
              <c:strCache>
                <c:ptCount val="36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  <c:pt idx="24">
                  <c:v>M25</c:v>
                </c:pt>
                <c:pt idx="25">
                  <c:v>M26</c:v>
                </c:pt>
                <c:pt idx="26">
                  <c:v>M27</c:v>
                </c:pt>
                <c:pt idx="27">
                  <c:v>M28</c:v>
                </c:pt>
                <c:pt idx="28">
                  <c:v>M29</c:v>
                </c:pt>
                <c:pt idx="29">
                  <c:v>M30</c:v>
                </c:pt>
                <c:pt idx="30">
                  <c:v>M31</c:v>
                </c:pt>
                <c:pt idx="31">
                  <c:v>M32</c:v>
                </c:pt>
                <c:pt idx="32">
                  <c:v>M33</c:v>
                </c:pt>
                <c:pt idx="33">
                  <c:v>M34</c:v>
                </c:pt>
                <c:pt idx="34">
                  <c:v>M35</c:v>
                </c:pt>
                <c:pt idx="35">
                  <c:v>M36</c:v>
                </c:pt>
              </c:strCache>
            </c:strRef>
          </c:cat>
          <c:val>
            <c:numRef>
              <c:f>Dashboard!$B$8:$AK$8</c:f>
              <c:numCache>
                <c:formatCode>\$#,##0</c:formatCode>
                <c:ptCount val="36"/>
                <c:pt idx="0">
                  <c:v>4865152.3416999998</c:v>
                </c:pt>
                <c:pt idx="1">
                  <c:v>4735295.2453999994</c:v>
                </c:pt>
                <c:pt idx="2">
                  <c:v>4612455.3798999991</c:v>
                </c:pt>
                <c:pt idx="3">
                  <c:v>4497178.2843749989</c:v>
                </c:pt>
                <c:pt idx="4">
                  <c:v>4391898.7425999986</c:v>
                </c:pt>
                <c:pt idx="5">
                  <c:v>4299116.674399999</c:v>
                </c:pt>
                <c:pt idx="6">
                  <c:v>4183890.5895999991</c:v>
                </c:pt>
                <c:pt idx="7">
                  <c:v>4086345.1901249993</c:v>
                </c:pt>
                <c:pt idx="8">
                  <c:v>4009153.2948749992</c:v>
                </c:pt>
                <c:pt idx="9">
                  <c:v>3955032.6327499994</c:v>
                </c:pt>
                <c:pt idx="10">
                  <c:v>3926746.0226499992</c:v>
                </c:pt>
                <c:pt idx="11">
                  <c:v>23927090.18045</c:v>
                </c:pt>
                <c:pt idx="12">
                  <c:v>23958893.999924999</c:v>
                </c:pt>
                <c:pt idx="13">
                  <c:v>24025009.798799999</c:v>
                </c:pt>
                <c:pt idx="14">
                  <c:v>24128286.873624999</c:v>
                </c:pt>
                <c:pt idx="15">
                  <c:v>24271603.311875001</c:v>
                </c:pt>
                <c:pt idx="16">
                  <c:v>24457811.6138</c:v>
                </c:pt>
                <c:pt idx="17">
                  <c:v>24689755.432425</c:v>
                </c:pt>
                <c:pt idx="18">
                  <c:v>24807761.383549999</c:v>
                </c:pt>
                <c:pt idx="19">
                  <c:v>24977115.219700001</c:v>
                </c:pt>
                <c:pt idx="20">
                  <c:v>25200579.110125002</c:v>
                </c:pt>
                <c:pt idx="21">
                  <c:v>25480851.638700001</c:v>
                </c:pt>
                <c:pt idx="22">
                  <c:v>25820575.249975</c:v>
                </c:pt>
                <c:pt idx="23">
                  <c:v>26222322.077075001</c:v>
                </c:pt>
                <c:pt idx="24">
                  <c:v>26688604.030774999</c:v>
                </c:pt>
                <c:pt idx="25">
                  <c:v>27221846.894375</c:v>
                </c:pt>
                <c:pt idx="26">
                  <c:v>27824379.949749999</c:v>
                </c:pt>
                <c:pt idx="27">
                  <c:v>28498445.991299998</c:v>
                </c:pt>
                <c:pt idx="28">
                  <c:v>29246191.131999999</c:v>
                </c:pt>
                <c:pt idx="29">
                  <c:v>30069638.358275</c:v>
                </c:pt>
                <c:pt idx="30">
                  <c:v>30970718.0821</c:v>
                </c:pt>
                <c:pt idx="31">
                  <c:v>31951244.31495</c:v>
                </c:pt>
                <c:pt idx="32">
                  <c:v>33012906.50175</c:v>
                </c:pt>
                <c:pt idx="33">
                  <c:v>34157275.862975001</c:v>
                </c:pt>
                <c:pt idx="34">
                  <c:v>35385798.512550004</c:v>
                </c:pt>
                <c:pt idx="35">
                  <c:v>36699797.896925002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AC4-A648-BD31-329140FE561A}"/>
            </c:ext>
          </c:extLst>
        </c:ser>
        <c:ser>
          <c:idx val="1"/>
          <c:order val="1"/>
          <c:tx>
            <c:strRef>
              <c:f>Dashboard!$A$9</c:f>
              <c:strCache>
                <c:ptCount val="1"/>
                <c:pt idx="0">
                  <c:v>Op Profit ($)</c:v>
                </c:pt>
              </c:strCache>
            </c:strRef>
          </c:tx>
          <c:spPr>
            <a:ln>
              <a:solidFill>
                <a:srgbClr val="EF4444"/>
              </a:solidFill>
              <a:prstDash val="solid"/>
            </a:ln>
          </c:spPr>
          <c:marker>
            <c:symbol val="none"/>
          </c:marker>
          <c:cat>
            <c:strRef>
              <c:f>Dashboard!$B$3:$AK$3</c:f>
              <c:strCache>
                <c:ptCount val="36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  <c:pt idx="24">
                  <c:v>M25</c:v>
                </c:pt>
                <c:pt idx="25">
                  <c:v>M26</c:v>
                </c:pt>
                <c:pt idx="26">
                  <c:v>M27</c:v>
                </c:pt>
                <c:pt idx="27">
                  <c:v>M28</c:v>
                </c:pt>
                <c:pt idx="28">
                  <c:v>M29</c:v>
                </c:pt>
                <c:pt idx="29">
                  <c:v>M30</c:v>
                </c:pt>
                <c:pt idx="30">
                  <c:v>M31</c:v>
                </c:pt>
                <c:pt idx="31">
                  <c:v>M32</c:v>
                </c:pt>
                <c:pt idx="32">
                  <c:v>M33</c:v>
                </c:pt>
                <c:pt idx="33">
                  <c:v>M34</c:v>
                </c:pt>
                <c:pt idx="34">
                  <c:v>M35</c:v>
                </c:pt>
                <c:pt idx="35">
                  <c:v>M36</c:v>
                </c:pt>
              </c:strCache>
            </c:strRef>
          </c:cat>
          <c:val>
            <c:numRef>
              <c:f>Dashboard!$B$9:$AK$9</c:f>
              <c:numCache>
                <c:formatCode>\$#,##0;\(\$#,##0\);"-"</c:formatCode>
                <c:ptCount val="36"/>
                <c:pt idx="0">
                  <c:v>-134847.65830000001</c:v>
                </c:pt>
                <c:pt idx="1">
                  <c:v>-129857.0963</c:v>
                </c:pt>
                <c:pt idx="2">
                  <c:v>-122839.86549999999</c:v>
                </c:pt>
                <c:pt idx="3">
                  <c:v>-115277.09552500001</c:v>
                </c:pt>
                <c:pt idx="4">
                  <c:v>-105279.54177500001</c:v>
                </c:pt>
                <c:pt idx="5">
                  <c:v>-92782.068200000009</c:v>
                </c:pt>
                <c:pt idx="6">
                  <c:v>-115226.08480000001</c:v>
                </c:pt>
                <c:pt idx="7">
                  <c:v>-97545.399475000013</c:v>
                </c:pt>
                <c:pt idx="8">
                  <c:v>-77191.895250000001</c:v>
                </c:pt>
                <c:pt idx="9">
                  <c:v>-54120.662124999973</c:v>
                </c:pt>
                <c:pt idx="10">
                  <c:v>-28286.610099999991</c:v>
                </c:pt>
                <c:pt idx="11">
                  <c:v>344.1577999999281</c:v>
                </c:pt>
                <c:pt idx="12">
                  <c:v>31803.819475000026</c:v>
                </c:pt>
                <c:pt idx="13">
                  <c:v>66115.798874999979</c:v>
                </c:pt>
                <c:pt idx="14">
                  <c:v>103277.07482500002</c:v>
                </c:pt>
                <c:pt idx="15">
                  <c:v>143316.43824999995</c:v>
                </c:pt>
                <c:pt idx="16">
                  <c:v>186208.30192499998</c:v>
                </c:pt>
                <c:pt idx="17">
                  <c:v>231943.81862499996</c:v>
                </c:pt>
                <c:pt idx="18">
                  <c:v>118005.95112499991</c:v>
                </c:pt>
                <c:pt idx="19">
                  <c:v>169353.83614999987</c:v>
                </c:pt>
                <c:pt idx="20">
                  <c:v>223463.89042499987</c:v>
                </c:pt>
                <c:pt idx="21">
                  <c:v>280272.528575</c:v>
                </c:pt>
                <c:pt idx="22">
                  <c:v>339723.61127499992</c:v>
                </c:pt>
                <c:pt idx="23">
                  <c:v>401746.82709999999</c:v>
                </c:pt>
                <c:pt idx="24">
                  <c:v>466281.95369999995</c:v>
                </c:pt>
                <c:pt idx="25">
                  <c:v>533242.86360000004</c:v>
                </c:pt>
                <c:pt idx="26">
                  <c:v>602533.05537499976</c:v>
                </c:pt>
                <c:pt idx="27">
                  <c:v>674066.04154999997</c:v>
                </c:pt>
                <c:pt idx="28">
                  <c:v>747745.14069999987</c:v>
                </c:pt>
                <c:pt idx="29">
                  <c:v>823447.22627499979</c:v>
                </c:pt>
                <c:pt idx="30">
                  <c:v>901079.72382499976</c:v>
                </c:pt>
                <c:pt idx="31">
                  <c:v>980526.23285000003</c:v>
                </c:pt>
                <c:pt idx="32">
                  <c:v>1061662.1867999998</c:v>
                </c:pt>
                <c:pt idx="33">
                  <c:v>1144369.3612249997</c:v>
                </c:pt>
                <c:pt idx="34">
                  <c:v>1228522.6495749997</c:v>
                </c:pt>
                <c:pt idx="35">
                  <c:v>1313999.3843749999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AC4-A648-BD31-329140FE5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Dollars ($)</a:t>
                </a:r>
              </a:p>
            </c:rich>
          </c:tx>
          <c:overlay val="1"/>
        </c:title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1008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27</xdr:row>
      <xdr:rowOff>0</xdr:rowOff>
    </xdr:from>
    <xdr:ext cx="10080000" cy="50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43</xdr:row>
      <xdr:rowOff>0</xdr:rowOff>
    </xdr:from>
    <xdr:ext cx="10080000" cy="50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6D952A6-C48A-3149-86C3-6C5D0D5F7373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0FF"/>
  </sheetPr>
  <dimension ref="A1:E75"/>
  <sheetViews>
    <sheetView zoomScale="150" zoomScaleNormal="170" workbookViewId="0">
      <selection activeCell="D22" sqref="D22"/>
    </sheetView>
  </sheetViews>
  <sheetFormatPr baseColWidth="10" defaultColWidth="8.83203125" defaultRowHeight="15" x14ac:dyDescent="0.2"/>
  <cols>
    <col min="1" max="1" width="35" customWidth="1"/>
    <col min="2" max="2" width="18" customWidth="1"/>
    <col min="3" max="3" width="14" customWidth="1"/>
    <col min="4" max="4" width="45" customWidth="1"/>
  </cols>
  <sheetData>
    <row r="1" spans="1:5" ht="18" x14ac:dyDescent="0.2">
      <c r="A1" s="1" t="s">
        <v>0</v>
      </c>
    </row>
    <row r="2" spans="1:5" x14ac:dyDescent="0.2">
      <c r="A2" s="2" t="s">
        <v>1</v>
      </c>
    </row>
    <row r="4" spans="1:5" x14ac:dyDescent="0.2">
      <c r="A4" s="3" t="s">
        <v>2</v>
      </c>
      <c r="B4" s="4"/>
      <c r="C4" s="4"/>
      <c r="D4" s="4"/>
      <c r="E4" s="4"/>
    </row>
    <row r="5" spans="1:5" x14ac:dyDescent="0.2">
      <c r="A5" s="5" t="s">
        <v>3</v>
      </c>
      <c r="B5" s="5" t="s">
        <v>4</v>
      </c>
      <c r="C5" s="5" t="s">
        <v>5</v>
      </c>
      <c r="D5" s="5" t="s">
        <v>6</v>
      </c>
    </row>
    <row r="6" spans="1:5" x14ac:dyDescent="0.2">
      <c r="A6" s="6" t="s">
        <v>7</v>
      </c>
      <c r="B6" s="7">
        <v>0</v>
      </c>
      <c r="C6" s="7">
        <v>0</v>
      </c>
      <c r="D6" s="8" t="s">
        <v>8</v>
      </c>
    </row>
    <row r="7" spans="1:5" x14ac:dyDescent="0.2">
      <c r="A7" s="6" t="s">
        <v>9</v>
      </c>
      <c r="B7" s="9">
        <v>7.99</v>
      </c>
      <c r="C7" s="10">
        <f>B7*12*(1-B28)</f>
        <v>76.703999999999994</v>
      </c>
      <c r="D7" s="8" t="s">
        <v>10</v>
      </c>
    </row>
    <row r="8" spans="1:5" x14ac:dyDescent="0.2">
      <c r="A8" s="6" t="s">
        <v>11</v>
      </c>
      <c r="B8" s="9">
        <v>19.989999999999998</v>
      </c>
      <c r="C8" s="10">
        <f>B8*12*(1-B28)</f>
        <v>191.904</v>
      </c>
      <c r="D8" s="8" t="s">
        <v>12</v>
      </c>
    </row>
    <row r="10" spans="1:5" x14ac:dyDescent="0.2">
      <c r="A10" s="3" t="s">
        <v>13</v>
      </c>
      <c r="B10" s="4"/>
      <c r="C10" s="4"/>
      <c r="D10" s="4"/>
      <c r="E10" s="4"/>
    </row>
    <row r="11" spans="1:5" x14ac:dyDescent="0.2">
      <c r="A11" s="6" t="s">
        <v>14</v>
      </c>
      <c r="B11" s="11">
        <v>10000</v>
      </c>
      <c r="C11" s="12" t="s">
        <v>15</v>
      </c>
    </row>
    <row r="12" spans="1:5" x14ac:dyDescent="0.2">
      <c r="A12" s="6" t="s">
        <v>16</v>
      </c>
      <c r="B12" s="13">
        <v>0.1</v>
      </c>
      <c r="C12" s="12" t="s">
        <v>17</v>
      </c>
    </row>
    <row r="13" spans="1:5" x14ac:dyDescent="0.2">
      <c r="A13" s="6" t="s">
        <v>18</v>
      </c>
      <c r="B13" s="11">
        <v>500</v>
      </c>
      <c r="C13" s="12" t="s">
        <v>19</v>
      </c>
    </row>
    <row r="14" spans="1:5" x14ac:dyDescent="0.2">
      <c r="A14" s="6" t="s">
        <v>20</v>
      </c>
      <c r="B14" s="13">
        <v>0.05</v>
      </c>
      <c r="C14" s="12" t="s">
        <v>21</v>
      </c>
    </row>
    <row r="15" spans="1:5" x14ac:dyDescent="0.2">
      <c r="A15" s="6" t="s">
        <v>22</v>
      </c>
      <c r="B15" s="14">
        <v>0.08</v>
      </c>
      <c r="C15" s="12" t="s">
        <v>23</v>
      </c>
    </row>
    <row r="16" spans="1:5" x14ac:dyDescent="0.2">
      <c r="A16" s="6" t="s">
        <v>447</v>
      </c>
      <c r="B16" s="15">
        <v>0.98</v>
      </c>
      <c r="C16" s="12" t="s">
        <v>448</v>
      </c>
    </row>
    <row r="17" spans="1:5" x14ac:dyDescent="0.2">
      <c r="A17" s="6" t="s">
        <v>24</v>
      </c>
      <c r="B17" s="15">
        <v>0.95499999999999996</v>
      </c>
      <c r="C17" s="12" t="s">
        <v>25</v>
      </c>
    </row>
    <row r="18" spans="1:5" x14ac:dyDescent="0.2">
      <c r="A18" s="3" t="s">
        <v>26</v>
      </c>
      <c r="B18" s="4"/>
      <c r="C18" s="4"/>
      <c r="D18" s="4"/>
      <c r="E18" s="4"/>
    </row>
    <row r="19" spans="1:5" x14ac:dyDescent="0.2">
      <c r="A19" s="6" t="s">
        <v>27</v>
      </c>
      <c r="B19" s="14">
        <v>3.5000000000000003E-2</v>
      </c>
      <c r="C19" s="12" t="s">
        <v>28</v>
      </c>
    </row>
    <row r="20" spans="1:5" x14ac:dyDescent="0.2">
      <c r="A20" s="6" t="s">
        <v>29</v>
      </c>
      <c r="B20" s="14">
        <v>8.0000000000000002E-3</v>
      </c>
      <c r="C20" s="12" t="s">
        <v>30</v>
      </c>
    </row>
    <row r="21" spans="1:5" x14ac:dyDescent="0.2">
      <c r="A21" s="6" t="s">
        <v>31</v>
      </c>
      <c r="B21" s="14">
        <v>0.02</v>
      </c>
      <c r="C21" s="12" t="s">
        <v>32</v>
      </c>
    </row>
    <row r="22" spans="1:5" x14ac:dyDescent="0.2">
      <c r="A22" s="6" t="s">
        <v>33</v>
      </c>
      <c r="B22" s="13">
        <v>0.08</v>
      </c>
      <c r="C22" s="12" t="s">
        <v>34</v>
      </c>
    </row>
    <row r="23" spans="1:5" x14ac:dyDescent="0.2">
      <c r="A23" s="6" t="s">
        <v>35</v>
      </c>
      <c r="B23" s="13">
        <v>0.05</v>
      </c>
      <c r="C23" s="12" t="s">
        <v>36</v>
      </c>
    </row>
    <row r="24" spans="1:5" x14ac:dyDescent="0.2">
      <c r="A24" s="6" t="s">
        <v>37</v>
      </c>
      <c r="B24" s="13">
        <v>0.03</v>
      </c>
      <c r="C24" s="12" t="s">
        <v>38</v>
      </c>
    </row>
    <row r="26" spans="1:5" x14ac:dyDescent="0.2">
      <c r="A26" s="3" t="s">
        <v>39</v>
      </c>
      <c r="B26" s="4"/>
      <c r="C26" s="4"/>
      <c r="D26" s="4"/>
      <c r="E26" s="4"/>
    </row>
    <row r="27" spans="1:5" x14ac:dyDescent="0.2">
      <c r="A27" s="6" t="s">
        <v>40</v>
      </c>
      <c r="B27" s="13">
        <v>0.35</v>
      </c>
      <c r="C27" s="12" t="s">
        <v>41</v>
      </c>
    </row>
    <row r="28" spans="1:5" x14ac:dyDescent="0.2">
      <c r="A28" s="6" t="s">
        <v>42</v>
      </c>
      <c r="B28" s="13">
        <v>0.2</v>
      </c>
      <c r="C28" s="12" t="s">
        <v>43</v>
      </c>
    </row>
    <row r="29" spans="1:5" x14ac:dyDescent="0.2">
      <c r="A29" s="6" t="s">
        <v>44</v>
      </c>
      <c r="B29" s="10">
        <f>B7*(1-B27) + (B7*(1-B28))*B27</f>
        <v>7.4306999999999999</v>
      </c>
      <c r="C29" s="16" t="s">
        <v>45</v>
      </c>
    </row>
    <row r="30" spans="1:5" x14ac:dyDescent="0.2">
      <c r="A30" s="6" t="s">
        <v>46</v>
      </c>
      <c r="B30" s="10">
        <f>B8*(1-B27) + (B8*(1-B28))*B27</f>
        <v>18.590699999999998</v>
      </c>
    </row>
    <row r="32" spans="1:5" x14ac:dyDescent="0.2">
      <c r="A32" s="3" t="s">
        <v>47</v>
      </c>
      <c r="B32" s="4"/>
      <c r="C32" s="4"/>
      <c r="D32" s="4"/>
      <c r="E32" s="4"/>
    </row>
    <row r="33" spans="1:5" x14ac:dyDescent="0.2">
      <c r="A33" s="6" t="s">
        <v>48</v>
      </c>
      <c r="B33" s="9">
        <v>2</v>
      </c>
      <c r="C33" s="12" t="s">
        <v>49</v>
      </c>
    </row>
    <row r="34" spans="1:5" x14ac:dyDescent="0.2">
      <c r="A34" s="6" t="s">
        <v>50</v>
      </c>
      <c r="B34" s="9">
        <v>0.15</v>
      </c>
      <c r="C34" s="12" t="s">
        <v>51</v>
      </c>
    </row>
    <row r="35" spans="1:5" x14ac:dyDescent="0.2">
      <c r="A35" s="6" t="s">
        <v>52</v>
      </c>
      <c r="B35" s="9">
        <v>3.5</v>
      </c>
      <c r="C35" s="12" t="s">
        <v>53</v>
      </c>
    </row>
    <row r="36" spans="1:5" x14ac:dyDescent="0.2">
      <c r="A36" s="6" t="s">
        <v>54</v>
      </c>
      <c r="B36" s="9">
        <v>28</v>
      </c>
      <c r="C36" s="12" t="s">
        <v>55</v>
      </c>
    </row>
    <row r="37" spans="1:5" x14ac:dyDescent="0.2">
      <c r="A37" s="6" t="s">
        <v>56</v>
      </c>
      <c r="B37" s="10">
        <f>(B35*0.7 + B36*0.3)</f>
        <v>10.85</v>
      </c>
      <c r="C37" s="16" t="s">
        <v>57</v>
      </c>
    </row>
    <row r="39" spans="1:5" x14ac:dyDescent="0.2">
      <c r="A39" s="3" t="s">
        <v>58</v>
      </c>
      <c r="B39" s="4"/>
      <c r="C39" s="4"/>
      <c r="D39" s="4"/>
      <c r="E39" s="4"/>
    </row>
    <row r="40" spans="1:5" x14ac:dyDescent="0.2">
      <c r="A40" s="5" t="s">
        <v>59</v>
      </c>
      <c r="B40" s="5" t="s">
        <v>60</v>
      </c>
      <c r="C40" s="5" t="s">
        <v>61</v>
      </c>
      <c r="D40" s="5" t="s">
        <v>62</v>
      </c>
    </row>
    <row r="41" spans="1:5" x14ac:dyDescent="0.2">
      <c r="A41" s="6" t="s">
        <v>63</v>
      </c>
      <c r="B41" s="11">
        <v>4</v>
      </c>
      <c r="C41" s="11">
        <v>6</v>
      </c>
      <c r="D41" s="11">
        <v>7</v>
      </c>
    </row>
    <row r="42" spans="1:5" x14ac:dyDescent="0.2">
      <c r="A42" s="6" t="s">
        <v>64</v>
      </c>
      <c r="B42" s="11">
        <v>1</v>
      </c>
      <c r="C42" s="11">
        <v>1</v>
      </c>
      <c r="D42" s="11">
        <v>2</v>
      </c>
    </row>
    <row r="43" spans="1:5" x14ac:dyDescent="0.2">
      <c r="A43" s="6" t="s">
        <v>65</v>
      </c>
      <c r="B43" s="11">
        <v>2</v>
      </c>
      <c r="C43" s="11">
        <v>2</v>
      </c>
      <c r="D43" s="11">
        <v>3</v>
      </c>
    </row>
    <row r="44" spans="1:5" x14ac:dyDescent="0.2">
      <c r="A44" s="6" t="s">
        <v>66</v>
      </c>
      <c r="B44" s="11">
        <v>1</v>
      </c>
      <c r="C44" s="11">
        <v>1</v>
      </c>
      <c r="D44" s="11">
        <v>3</v>
      </c>
    </row>
    <row r="45" spans="1:5" x14ac:dyDescent="0.2">
      <c r="A45" s="6" t="s">
        <v>67</v>
      </c>
      <c r="B45" s="11">
        <v>0</v>
      </c>
      <c r="C45" s="11">
        <v>0</v>
      </c>
      <c r="D45" s="11">
        <v>1</v>
      </c>
    </row>
    <row r="46" spans="1:5" x14ac:dyDescent="0.2">
      <c r="A46" s="6" t="s">
        <v>68</v>
      </c>
      <c r="B46" s="11">
        <v>1</v>
      </c>
      <c r="C46" s="11">
        <v>1</v>
      </c>
      <c r="D46" s="11">
        <v>3</v>
      </c>
    </row>
    <row r="47" spans="1:5" x14ac:dyDescent="0.2">
      <c r="A47" s="6" t="s">
        <v>69</v>
      </c>
      <c r="B47" s="11">
        <v>0</v>
      </c>
      <c r="C47" s="11">
        <v>1</v>
      </c>
      <c r="D47" s="11">
        <v>6</v>
      </c>
    </row>
    <row r="48" spans="1:5" x14ac:dyDescent="0.2">
      <c r="A48" s="17" t="s">
        <v>70</v>
      </c>
      <c r="B48" s="18">
        <f>SUM(B41:B47)</f>
        <v>9</v>
      </c>
      <c r="C48" s="18">
        <f>SUM(C41:C47)</f>
        <v>12</v>
      </c>
      <c r="D48" s="18">
        <f>SUM(D41:D47)</f>
        <v>25</v>
      </c>
    </row>
    <row r="49" spans="1:5" x14ac:dyDescent="0.2">
      <c r="A49" s="6" t="s">
        <v>71</v>
      </c>
      <c r="B49" s="7">
        <v>150000</v>
      </c>
      <c r="C49" s="12" t="s">
        <v>72</v>
      </c>
    </row>
    <row r="51" spans="1:5" x14ac:dyDescent="0.2">
      <c r="A51" s="3" t="s">
        <v>73</v>
      </c>
      <c r="B51" s="4"/>
      <c r="C51" s="4"/>
      <c r="D51" s="4"/>
      <c r="E51" s="4"/>
    </row>
    <row r="52" spans="1:5" x14ac:dyDescent="0.2">
      <c r="A52" s="6" t="s">
        <v>74</v>
      </c>
      <c r="B52" s="7">
        <v>5000000</v>
      </c>
      <c r="C52" s="12" t="s">
        <v>75</v>
      </c>
    </row>
    <row r="53" spans="1:5" x14ac:dyDescent="0.2">
      <c r="A53" s="6" t="s">
        <v>76</v>
      </c>
      <c r="B53" s="7">
        <v>16000000</v>
      </c>
    </row>
    <row r="54" spans="1:5" x14ac:dyDescent="0.2">
      <c r="A54" s="6" t="s">
        <v>77</v>
      </c>
      <c r="B54" s="7">
        <v>20000000</v>
      </c>
      <c r="C54" s="12" t="s">
        <v>78</v>
      </c>
    </row>
    <row r="55" spans="1:5" x14ac:dyDescent="0.2">
      <c r="A55" s="6" t="s">
        <v>79</v>
      </c>
      <c r="B55" s="7">
        <v>80000000</v>
      </c>
    </row>
    <row r="56" spans="1:5" x14ac:dyDescent="0.2">
      <c r="A56" s="6" t="s">
        <v>80</v>
      </c>
      <c r="B56" s="7">
        <v>300000</v>
      </c>
      <c r="C56" s="12" t="s">
        <v>81</v>
      </c>
    </row>
    <row r="58" spans="1:5" x14ac:dyDescent="0.2">
      <c r="A58" s="3" t="s">
        <v>82</v>
      </c>
      <c r="B58" s="4"/>
      <c r="C58" s="4"/>
      <c r="D58" s="4"/>
      <c r="E58" s="4"/>
    </row>
    <row r="59" spans="1:5" x14ac:dyDescent="0.2">
      <c r="A59" s="6" t="s">
        <v>83</v>
      </c>
      <c r="B59" s="7">
        <v>10000</v>
      </c>
      <c r="C59" s="12" t="s">
        <v>84</v>
      </c>
    </row>
    <row r="60" spans="1:5" x14ac:dyDescent="0.2">
      <c r="A60" s="6" t="s">
        <v>85</v>
      </c>
      <c r="B60" s="7">
        <v>5000</v>
      </c>
      <c r="C60" s="12" t="s">
        <v>86</v>
      </c>
    </row>
    <row r="61" spans="1:5" x14ac:dyDescent="0.2">
      <c r="A61" s="6" t="s">
        <v>87</v>
      </c>
      <c r="B61" s="7">
        <v>4000</v>
      </c>
      <c r="C61" s="12" t="s">
        <v>88</v>
      </c>
    </row>
    <row r="62" spans="1:5" x14ac:dyDescent="0.2">
      <c r="A62" s="6" t="s">
        <v>89</v>
      </c>
      <c r="B62" s="13">
        <v>0.25</v>
      </c>
      <c r="C62" s="12" t="s">
        <v>90</v>
      </c>
    </row>
    <row r="63" spans="1:5" x14ac:dyDescent="0.2">
      <c r="A63" s="6" t="s">
        <v>91</v>
      </c>
      <c r="B63" s="7"/>
      <c r="C63" s="12" t="s">
        <v>92</v>
      </c>
    </row>
    <row r="65" spans="1:3" x14ac:dyDescent="0.2">
      <c r="A65" s="39" t="s">
        <v>93</v>
      </c>
    </row>
    <row r="66" spans="1:3" x14ac:dyDescent="0.2">
      <c r="A66" t="s">
        <v>94</v>
      </c>
      <c r="B66">
        <v>0.02</v>
      </c>
      <c r="C66" t="s">
        <v>95</v>
      </c>
    </row>
    <row r="67" spans="1:3" x14ac:dyDescent="0.2">
      <c r="A67" t="s">
        <v>96</v>
      </c>
      <c r="B67">
        <v>0.01</v>
      </c>
      <c r="C67" t="s">
        <v>97</v>
      </c>
    </row>
    <row r="69" spans="1:3" x14ac:dyDescent="0.2">
      <c r="A69" s="39" t="s">
        <v>98</v>
      </c>
    </row>
    <row r="70" spans="1:3" x14ac:dyDescent="0.2">
      <c r="A70" t="s">
        <v>99</v>
      </c>
      <c r="B70">
        <v>450</v>
      </c>
      <c r="C70" t="s">
        <v>100</v>
      </c>
    </row>
    <row r="71" spans="1:3" x14ac:dyDescent="0.2">
      <c r="A71" t="s">
        <v>101</v>
      </c>
      <c r="B71">
        <v>800</v>
      </c>
      <c r="C71" t="s">
        <v>102</v>
      </c>
    </row>
    <row r="72" spans="1:3" x14ac:dyDescent="0.2">
      <c r="A72" t="s">
        <v>103</v>
      </c>
      <c r="B72">
        <v>95.88</v>
      </c>
      <c r="C72" t="s">
        <v>104</v>
      </c>
    </row>
    <row r="73" spans="1:3" x14ac:dyDescent="0.2">
      <c r="A73" t="s">
        <v>105</v>
      </c>
      <c r="B73">
        <v>239.88</v>
      </c>
      <c r="C73" t="s">
        <v>106</v>
      </c>
    </row>
    <row r="74" spans="1:3" x14ac:dyDescent="0.2">
      <c r="A74" t="s">
        <v>107</v>
      </c>
      <c r="B74">
        <f>B70/B72</f>
        <v>4.693366708385482</v>
      </c>
      <c r="C74" t="s">
        <v>108</v>
      </c>
    </row>
    <row r="75" spans="1:3" x14ac:dyDescent="0.2">
      <c r="A75" t="s">
        <v>109</v>
      </c>
      <c r="B75">
        <f>B71/B73</f>
        <v>3.3350008337502084</v>
      </c>
      <c r="C75" t="s">
        <v>108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4B8A6"/>
  </sheetPr>
  <dimension ref="A1:AL30"/>
  <sheetViews>
    <sheetView workbookViewId="0">
      <pane xSplit="2" ySplit="4" topLeftCell="C5" activePane="bottomRight" state="frozen"/>
      <selection pane="topRight"/>
      <selection pane="bottomLeft"/>
      <selection pane="bottomRight" activeCell="D33" sqref="D33"/>
    </sheetView>
  </sheetViews>
  <sheetFormatPr baseColWidth="10" defaultColWidth="8.83203125" defaultRowHeight="15" x14ac:dyDescent="0.2"/>
  <cols>
    <col min="1" max="1" width="30" customWidth="1"/>
    <col min="2" max="2" width="8" customWidth="1"/>
    <col min="3" max="38" width="13" customWidth="1"/>
  </cols>
  <sheetData>
    <row r="1" spans="1:38" ht="18" x14ac:dyDescent="0.2">
      <c r="A1" s="1" t="s">
        <v>110</v>
      </c>
    </row>
    <row r="2" spans="1:38" x14ac:dyDescent="0.2">
      <c r="A2" s="2" t="s">
        <v>111</v>
      </c>
    </row>
    <row r="4" spans="1:38" x14ac:dyDescent="0.2">
      <c r="A4" s="19" t="s">
        <v>112</v>
      </c>
      <c r="B4" s="19" t="s">
        <v>113</v>
      </c>
      <c r="C4" s="20" t="s">
        <v>114</v>
      </c>
      <c r="D4" s="20" t="s">
        <v>115</v>
      </c>
      <c r="E4" s="20" t="s">
        <v>116</v>
      </c>
      <c r="F4" s="20" t="s">
        <v>117</v>
      </c>
      <c r="G4" s="20" t="s">
        <v>118</v>
      </c>
      <c r="H4" s="20" t="s">
        <v>119</v>
      </c>
      <c r="I4" s="20" t="s">
        <v>120</v>
      </c>
      <c r="J4" s="20" t="s">
        <v>121</v>
      </c>
      <c r="K4" s="20" t="s">
        <v>122</v>
      </c>
      <c r="L4" s="20" t="s">
        <v>123</v>
      </c>
      <c r="M4" s="20" t="s">
        <v>124</v>
      </c>
      <c r="N4" s="20" t="s">
        <v>125</v>
      </c>
      <c r="O4" s="20" t="s">
        <v>126</v>
      </c>
      <c r="P4" s="20" t="s">
        <v>127</v>
      </c>
      <c r="Q4" s="20" t="s">
        <v>128</v>
      </c>
      <c r="R4" s="20" t="s">
        <v>129</v>
      </c>
      <c r="S4" s="20" t="s">
        <v>130</v>
      </c>
      <c r="T4" s="20" t="s">
        <v>131</v>
      </c>
      <c r="U4" s="20" t="s">
        <v>132</v>
      </c>
      <c r="V4" s="20" t="s">
        <v>133</v>
      </c>
      <c r="W4" s="20" t="s">
        <v>134</v>
      </c>
      <c r="X4" s="20" t="s">
        <v>135</v>
      </c>
      <c r="Y4" s="20" t="s">
        <v>136</v>
      </c>
      <c r="Z4" s="20" t="s">
        <v>137</v>
      </c>
      <c r="AA4" s="20" t="s">
        <v>138</v>
      </c>
      <c r="AB4" s="20" t="s">
        <v>139</v>
      </c>
      <c r="AC4" s="20" t="s">
        <v>140</v>
      </c>
      <c r="AD4" s="20" t="s">
        <v>141</v>
      </c>
      <c r="AE4" s="20" t="s">
        <v>142</v>
      </c>
      <c r="AF4" s="20" t="s">
        <v>143</v>
      </c>
      <c r="AG4" s="20" t="s">
        <v>144</v>
      </c>
      <c r="AH4" s="20" t="s">
        <v>145</v>
      </c>
      <c r="AI4" s="20" t="s">
        <v>146</v>
      </c>
      <c r="AJ4" s="20" t="s">
        <v>147</v>
      </c>
      <c r="AK4" s="20" t="s">
        <v>148</v>
      </c>
      <c r="AL4" s="20" t="s">
        <v>149</v>
      </c>
    </row>
    <row r="5" spans="1:38" x14ac:dyDescent="0.2">
      <c r="A5" s="3" t="s">
        <v>150</v>
      </c>
      <c r="B5" s="4"/>
      <c r="C5" s="4"/>
      <c r="D5" s="4"/>
      <c r="E5" s="4"/>
    </row>
    <row r="6" spans="1:38" x14ac:dyDescent="0.2">
      <c r="A6" s="6" t="s">
        <v>151</v>
      </c>
      <c r="B6" s="6" t="s">
        <v>152</v>
      </c>
      <c r="C6" s="21">
        <f>Assumptions!B11</f>
        <v>10000</v>
      </c>
      <c r="D6" s="21">
        <f>ROUND(C6*(1+Assumptions!$B$12*Assumptions!$B$17^(COLUMN()-3)),0)</f>
        <v>10955</v>
      </c>
      <c r="E6" s="21">
        <f>ROUND(D6*(1+Assumptions!$B$12*Assumptions!$B$17^(COLUMN()-3)),0)</f>
        <v>11954</v>
      </c>
      <c r="F6" s="21">
        <f>ROUND(E6*(1+Assumptions!$B$12*Assumptions!$B$17^(COLUMN()-3)),0)</f>
        <v>12995</v>
      </c>
      <c r="G6" s="21">
        <f>ROUND(F6*(1+Assumptions!$B$12*Assumptions!$B$17^(COLUMN()-3)),0)</f>
        <v>14076</v>
      </c>
      <c r="H6" s="21">
        <f>ROUND(G6*(1+Assumptions!$B$12*Assumptions!$B$17^(COLUMN()-3)),0)</f>
        <v>15194</v>
      </c>
      <c r="I6" s="21">
        <f>ROUND(H6*(1+Assumptions!$B$12*Assumptions!$B$17^(COLUMN()-3)),0)</f>
        <v>16347</v>
      </c>
      <c r="J6" s="21">
        <f>ROUND(I6*(1+Assumptions!$B$12*Assumptions!$B$17^(COLUMN()-3)),0)</f>
        <v>17531</v>
      </c>
      <c r="K6" s="21">
        <f>ROUND(J6*(1+Assumptions!$B$12*Assumptions!$B$17^(COLUMN()-3)),0)</f>
        <v>18744</v>
      </c>
      <c r="L6" s="21">
        <f>ROUND(K6*(1+Assumptions!$B$12*Assumptions!$B$17^(COLUMN()-3)),0)</f>
        <v>19982</v>
      </c>
      <c r="M6" s="21">
        <f>ROUND(L6*(1+Assumptions!$B$12*Assumptions!$B$17^(COLUMN()-3)),0)</f>
        <v>21243</v>
      </c>
      <c r="N6" s="21">
        <f>ROUND(M6*(1+Assumptions!$B$12*Assumptions!$B$17^(COLUMN()-3)),0)</f>
        <v>22523</v>
      </c>
      <c r="O6" s="21">
        <f>ROUND(N6*(1+Assumptions!$B$12*Assumptions!$B$17^(COLUMN()-3)),0)</f>
        <v>23819</v>
      </c>
      <c r="P6" s="21">
        <f>ROUND(O6*(1+Assumptions!$B$12*Assumptions!$B$17^(COLUMN()-3)),0)</f>
        <v>25128</v>
      </c>
      <c r="Q6" s="21">
        <f>ROUND(P6*(1+Assumptions!$B$12*Assumptions!$B$17^(COLUMN()-3)),0)</f>
        <v>26447</v>
      </c>
      <c r="R6" s="21">
        <f>ROUND(Q6*(1+Assumptions!$B$12*Assumptions!$B$17^(COLUMN()-3)),0)</f>
        <v>27773</v>
      </c>
      <c r="S6" s="21">
        <f>ROUND(R6*(1+Assumptions!$B$12*Assumptions!$B$17^(COLUMN()-3)),0)</f>
        <v>29102</v>
      </c>
      <c r="T6" s="21">
        <f>ROUND(S6*(1+Assumptions!$B$12*Assumptions!$B$17^(COLUMN()-3)),0)</f>
        <v>30432</v>
      </c>
      <c r="U6" s="21">
        <f>ROUND(T6*(1+Assumptions!$B$12*Assumptions!$B$17^(COLUMN()-3)),0)</f>
        <v>31761</v>
      </c>
      <c r="V6" s="21">
        <f>ROUND(U6*(1+Assumptions!$B$12*Assumptions!$B$17^(COLUMN()-3)),0)</f>
        <v>33085</v>
      </c>
      <c r="W6" s="21">
        <f>ROUND(V6*(1+Assumptions!$B$12*Assumptions!$B$17^(COLUMN()-3)),0)</f>
        <v>34402</v>
      </c>
      <c r="X6" s="21">
        <f>ROUND(W6*(1+Assumptions!$B$12*Assumptions!$B$17^(COLUMN()-3)),0)</f>
        <v>35710</v>
      </c>
      <c r="Y6" s="21">
        <f>ROUND(X6*(1+Assumptions!$B$12*Assumptions!$B$17^(COLUMN()-3)),0)</f>
        <v>37007</v>
      </c>
      <c r="Z6" s="21">
        <f>ROUND(Y6*(1+Assumptions!$B$12*Assumptions!$B$17^(COLUMN()-3)),0)</f>
        <v>38290</v>
      </c>
      <c r="AA6" s="21">
        <f>ROUND(Z6*(1+Assumptions!$B$12*Assumptions!$B$17^(COLUMN()-3)),0)</f>
        <v>39558</v>
      </c>
      <c r="AB6" s="21">
        <f>ROUND(AA6*(1+Assumptions!$B$12*Assumptions!$B$17^(COLUMN()-3)),0)</f>
        <v>40809</v>
      </c>
      <c r="AC6" s="21">
        <f>ROUND(AB6*(1+Assumptions!$B$12*Assumptions!$B$17^(COLUMN()-3)),0)</f>
        <v>42042</v>
      </c>
      <c r="AD6" s="21">
        <f>ROUND(AC6*(1+Assumptions!$B$12*Assumptions!$B$17^(COLUMN()-3)),0)</f>
        <v>43255</v>
      </c>
      <c r="AE6" s="21">
        <f>ROUND(AD6*(1+Assumptions!$B$12*Assumptions!$B$17^(COLUMN()-3)),0)</f>
        <v>44447</v>
      </c>
      <c r="AF6" s="21">
        <f>ROUND(AE6*(1+Assumptions!$B$12*Assumptions!$B$17^(COLUMN()-3)),0)</f>
        <v>45616</v>
      </c>
      <c r="AG6" s="21">
        <f>ROUND(AF6*(1+Assumptions!$B$12*Assumptions!$B$17^(COLUMN()-3)),0)</f>
        <v>46762</v>
      </c>
      <c r="AH6" s="21">
        <f>ROUND(AG6*(1+Assumptions!$B$12*Assumptions!$B$17^(COLUMN()-3)),0)</f>
        <v>47884</v>
      </c>
      <c r="AI6" s="21">
        <f>ROUND(AH6*(1+Assumptions!$B$12*Assumptions!$B$17^(COLUMN()-3)),0)</f>
        <v>48981</v>
      </c>
      <c r="AJ6" s="21">
        <f>ROUND(AI6*(1+Assumptions!$B$12*Assumptions!$B$17^(COLUMN()-3)),0)</f>
        <v>50053</v>
      </c>
      <c r="AK6" s="21">
        <f>ROUND(AJ6*(1+Assumptions!$B$12*Assumptions!$B$17^(COLUMN()-3)),0)</f>
        <v>51099</v>
      </c>
      <c r="AL6" s="21">
        <f>ROUND(AK6*(1+Assumptions!$B$12*Assumptions!$B$17^(COLUMN()-3)),0)</f>
        <v>52119</v>
      </c>
    </row>
    <row r="7" spans="1:38" x14ac:dyDescent="0.2">
      <c r="A7" s="6" t="s">
        <v>153</v>
      </c>
      <c r="B7" s="6" t="s">
        <v>152</v>
      </c>
      <c r="C7" s="21">
        <f>Assumptions!B13</f>
        <v>500</v>
      </c>
      <c r="D7" s="21">
        <f>ROUND(C7*(1+Assumptions!$B$14*Assumptions!$B$17^(COLUMN()-3)),0)</f>
        <v>524</v>
      </c>
      <c r="E7" s="21">
        <f>ROUND(D7*(1+Assumptions!$B$14*Assumptions!$B$17^(COLUMN()-3)),0)</f>
        <v>548</v>
      </c>
      <c r="F7" s="21">
        <f>ROUND(E7*(1+Assumptions!$B$14*Assumptions!$B$17^(COLUMN()-3)),0)</f>
        <v>572</v>
      </c>
      <c r="G7" s="21">
        <f>ROUND(F7*(1+Assumptions!$B$14*Assumptions!$B$17^(COLUMN()-3)),0)</f>
        <v>596</v>
      </c>
      <c r="H7" s="21">
        <f>ROUND(G7*(1+Assumptions!$B$14*Assumptions!$B$17^(COLUMN()-3)),0)</f>
        <v>620</v>
      </c>
      <c r="I7" s="21">
        <f>ROUND(H7*(1+Assumptions!$B$14*Assumptions!$B$17^(COLUMN()-3)),0)</f>
        <v>644</v>
      </c>
      <c r="J7" s="21">
        <f>ROUND(I7*(1+Assumptions!$B$14*Assumptions!$B$17^(COLUMN()-3)),0)</f>
        <v>667</v>
      </c>
      <c r="K7" s="21">
        <f>ROUND(J7*(1+Assumptions!$B$14*Assumptions!$B$17^(COLUMN()-3)),0)</f>
        <v>690</v>
      </c>
      <c r="L7" s="21">
        <f>ROUND(K7*(1+Assumptions!$B$14*Assumptions!$B$17^(COLUMN()-3)),0)</f>
        <v>713</v>
      </c>
      <c r="M7" s="21">
        <f>ROUND(L7*(1+Assumptions!$B$14*Assumptions!$B$17^(COLUMN()-3)),0)</f>
        <v>735</v>
      </c>
      <c r="N7" s="21">
        <f>ROUND(M7*(1+Assumptions!$B$14*Assumptions!$B$17^(COLUMN()-3)),0)</f>
        <v>757</v>
      </c>
      <c r="O7" s="21">
        <f>ROUND(N7*(1+Assumptions!$B$14*Assumptions!$B$17^(COLUMN()-3)),0)</f>
        <v>779</v>
      </c>
      <c r="P7" s="21">
        <f>ROUND(O7*(1+Assumptions!$B$14*Assumptions!$B$17^(COLUMN()-3)),0)</f>
        <v>800</v>
      </c>
      <c r="Q7" s="21">
        <f>ROUND(P7*(1+Assumptions!$B$14*Assumptions!$B$17^(COLUMN()-3)),0)</f>
        <v>821</v>
      </c>
      <c r="R7" s="21">
        <f>ROUND(Q7*(1+Assumptions!$B$14*Assumptions!$B$17^(COLUMN()-3)),0)</f>
        <v>842</v>
      </c>
      <c r="S7" s="21">
        <f>ROUND(R7*(1+Assumptions!$B$14*Assumptions!$B$17^(COLUMN()-3)),0)</f>
        <v>862</v>
      </c>
      <c r="T7" s="21">
        <f>ROUND(S7*(1+Assumptions!$B$14*Assumptions!$B$17^(COLUMN()-3)),0)</f>
        <v>882</v>
      </c>
      <c r="U7" s="21">
        <f>ROUND(T7*(1+Assumptions!$B$14*Assumptions!$B$17^(COLUMN()-3)),0)</f>
        <v>901</v>
      </c>
      <c r="V7" s="21">
        <f>ROUND(U7*(1+Assumptions!$B$14*Assumptions!$B$17^(COLUMN()-3)),0)</f>
        <v>920</v>
      </c>
      <c r="W7" s="21">
        <f>ROUND(V7*(1+Assumptions!$B$14*Assumptions!$B$17^(COLUMN()-3)),0)</f>
        <v>938</v>
      </c>
      <c r="X7" s="21">
        <f>ROUND(W7*(1+Assumptions!$B$14*Assumptions!$B$17^(COLUMN()-3)),0)</f>
        <v>956</v>
      </c>
      <c r="Y7" s="21">
        <f>ROUND(X7*(1+Assumptions!$B$14*Assumptions!$B$17^(COLUMN()-3)),0)</f>
        <v>973</v>
      </c>
      <c r="Z7" s="21">
        <f>ROUND(Y7*(1+Assumptions!$B$14*Assumptions!$B$17^(COLUMN()-3)),0)</f>
        <v>990</v>
      </c>
      <c r="AA7" s="21">
        <f>ROUND(Z7*(1+Assumptions!$B$14*Assumptions!$B$17^(COLUMN()-3)),0)</f>
        <v>1006</v>
      </c>
      <c r="AB7" s="21">
        <f>ROUND(AA7*(1+Assumptions!$B$14*Assumptions!$B$17^(COLUMN()-3)),0)</f>
        <v>1022</v>
      </c>
      <c r="AC7" s="21">
        <f>ROUND(AB7*(1+Assumptions!$B$14*Assumptions!$B$17^(COLUMN()-3)),0)</f>
        <v>1037</v>
      </c>
      <c r="AD7" s="21">
        <f>ROUND(AC7*(1+Assumptions!$B$14*Assumptions!$B$17^(COLUMN()-3)),0)</f>
        <v>1052</v>
      </c>
      <c r="AE7" s="21">
        <f>ROUND(AD7*(1+Assumptions!$B$14*Assumptions!$B$17^(COLUMN()-3)),0)</f>
        <v>1066</v>
      </c>
      <c r="AF7" s="21">
        <f>ROUND(AE7*(1+Assumptions!$B$14*Assumptions!$B$17^(COLUMN()-3)),0)</f>
        <v>1080</v>
      </c>
      <c r="AG7" s="21">
        <f>ROUND(AF7*(1+Assumptions!$B$14*Assumptions!$B$17^(COLUMN()-3)),0)</f>
        <v>1094</v>
      </c>
      <c r="AH7" s="21">
        <f>ROUND(AG7*(1+Assumptions!$B$14*Assumptions!$B$17^(COLUMN()-3)),0)</f>
        <v>1107</v>
      </c>
      <c r="AI7" s="21">
        <f>ROUND(AH7*(1+Assumptions!$B$14*Assumptions!$B$17^(COLUMN()-3)),0)</f>
        <v>1120</v>
      </c>
      <c r="AJ7" s="21">
        <f>ROUND(AI7*(1+Assumptions!$B$14*Assumptions!$B$17^(COLUMN()-3)),0)</f>
        <v>1132</v>
      </c>
      <c r="AK7" s="21">
        <f>ROUND(AJ7*(1+Assumptions!$B$14*Assumptions!$B$17^(COLUMN()-3)),0)</f>
        <v>1144</v>
      </c>
      <c r="AL7" s="21">
        <f>ROUND(AK7*(1+Assumptions!$B$14*Assumptions!$B$17^(COLUMN()-3)),0)</f>
        <v>1155</v>
      </c>
    </row>
    <row r="8" spans="1:38" x14ac:dyDescent="0.2">
      <c r="A8" s="6" t="s">
        <v>154</v>
      </c>
      <c r="B8" s="6" t="s">
        <v>152</v>
      </c>
      <c r="C8" s="22">
        <f>0</f>
        <v>0</v>
      </c>
      <c r="D8" s="21">
        <f>ROUND((C15+C21+C26)*Assumptions!$B$15*Assumptions!$B$16^(COLUMN()-4),0)</f>
        <v>771</v>
      </c>
      <c r="E8" s="21">
        <f>ROUND((D15+D21+D26)*Assumptions!$B$15*Assumptions!$B$16^(COLUMN()-4),0)</f>
        <v>1577</v>
      </c>
      <c r="F8" s="21">
        <f>ROUND((E15+E21+E26)*Assumptions!$B$15*Assumptions!$B$16^(COLUMN()-4),0)</f>
        <v>2415</v>
      </c>
      <c r="G8" s="21">
        <f>ROUND((F15+F21+F26)*Assumptions!$B$15*Assumptions!$B$16^(COLUMN()-4),0)</f>
        <v>3284</v>
      </c>
      <c r="H8" s="21">
        <f>ROUND((G15+G21+G26)*Assumptions!$B$15*Assumptions!$B$16^(COLUMN()-4),0)</f>
        <v>4182</v>
      </c>
      <c r="I8" s="21">
        <f>ROUND((H15+H21+H26)*Assumptions!$B$15*Assumptions!$B$16^(COLUMN()-4),0)</f>
        <v>5107</v>
      </c>
      <c r="J8" s="21">
        <f>ROUND((I15+I21+I26)*Assumptions!$B$15*Assumptions!$B$16^(COLUMN()-4),0)</f>
        <v>6055</v>
      </c>
      <c r="K8" s="21">
        <f>ROUND((J15+J21+J26)*Assumptions!$B$15*Assumptions!$B$16^(COLUMN()-4),0)</f>
        <v>7024</v>
      </c>
      <c r="L8" s="21">
        <f>ROUND((K15+K21+K26)*Assumptions!$B$15*Assumptions!$B$16^(COLUMN()-4),0)</f>
        <v>8010</v>
      </c>
      <c r="M8" s="21">
        <f>ROUND((L15+L21+L26)*Assumptions!$B$15*Assumptions!$B$16^(COLUMN()-4),0)</f>
        <v>9011</v>
      </c>
      <c r="N8" s="21">
        <f>ROUND((M15+M21+M26)*Assumptions!$B$15*Assumptions!$B$16^(COLUMN()-4),0)</f>
        <v>10023</v>
      </c>
      <c r="O8" s="21">
        <f>ROUND((N15+N21+N26)*Assumptions!$B$15*Assumptions!$B$16^(COLUMN()-4),0)</f>
        <v>11043</v>
      </c>
      <c r="P8" s="21">
        <f>ROUND((O15+O21+O26)*Assumptions!$B$15*Assumptions!$B$16^(COLUMN()-4),0)</f>
        <v>12066</v>
      </c>
      <c r="Q8" s="21">
        <f>ROUND((P15+P21+P26)*Assumptions!$B$15*Assumptions!$B$16^(COLUMN()-4),0)</f>
        <v>13090</v>
      </c>
      <c r="R8" s="21">
        <f>ROUND((Q15+Q21+Q26)*Assumptions!$B$15*Assumptions!$B$16^(COLUMN()-4),0)</f>
        <v>14112</v>
      </c>
      <c r="S8" s="21">
        <f>ROUND((R15+R21+R26)*Assumptions!$B$15*Assumptions!$B$16^(COLUMN()-4),0)</f>
        <v>15127</v>
      </c>
      <c r="T8" s="21">
        <f>ROUND((S15+S21+S26)*Assumptions!$B$15*Assumptions!$B$16^(COLUMN()-4),0)</f>
        <v>16132</v>
      </c>
      <c r="U8" s="21">
        <f>ROUND((T15+T21+T26)*Assumptions!$B$15*Assumptions!$B$16^(COLUMN()-4),0)</f>
        <v>17124</v>
      </c>
      <c r="V8" s="21">
        <f>ROUND((U15+U21+U26)*Assumptions!$B$15*Assumptions!$B$16^(COLUMN()-4),0)</f>
        <v>18101</v>
      </c>
      <c r="W8" s="21">
        <f>ROUND((V15+V21+V26)*Assumptions!$B$15*Assumptions!$B$16^(COLUMN()-4),0)</f>
        <v>19058</v>
      </c>
      <c r="X8" s="21">
        <f>ROUND((W15+W21+W26)*Assumptions!$B$15*Assumptions!$B$16^(COLUMN()-4),0)</f>
        <v>19994</v>
      </c>
      <c r="Y8" s="21">
        <f>ROUND((X15+X21+X26)*Assumptions!$B$15*Assumptions!$B$16^(COLUMN()-4),0)</f>
        <v>20905</v>
      </c>
      <c r="Z8" s="21">
        <f>ROUND((Y15+Y21+Y26)*Assumptions!$B$15*Assumptions!$B$16^(COLUMN()-4),0)</f>
        <v>21789</v>
      </c>
      <c r="AA8" s="21">
        <f>ROUND((Z15+Z21+Z26)*Assumptions!$B$15*Assumptions!$B$16^(COLUMN()-4),0)</f>
        <v>22645</v>
      </c>
      <c r="AB8" s="21">
        <f>ROUND((AA15+AA21+AA26)*Assumptions!$B$15*Assumptions!$B$16^(COLUMN()-4),0)</f>
        <v>23469</v>
      </c>
      <c r="AC8" s="21">
        <f>ROUND((AB15+AB21+AB26)*Assumptions!$B$15*Assumptions!$B$16^(COLUMN()-4),0)</f>
        <v>24261</v>
      </c>
      <c r="AD8" s="21">
        <f>ROUND((AC15+AC21+AC26)*Assumptions!$B$15*Assumptions!$B$16^(COLUMN()-4),0)</f>
        <v>25018</v>
      </c>
      <c r="AE8" s="21">
        <f>ROUND((AD15+AD21+AD26)*Assumptions!$B$15*Assumptions!$B$16^(COLUMN()-4),0)</f>
        <v>25739</v>
      </c>
      <c r="AF8" s="21">
        <f>ROUND((AE15+AE21+AE26)*Assumptions!$B$15*Assumptions!$B$16^(COLUMN()-4),0)</f>
        <v>26423</v>
      </c>
      <c r="AG8" s="21">
        <f>ROUND((AF15+AF21+AF26)*Assumptions!$B$15*Assumptions!$B$16^(COLUMN()-4),0)</f>
        <v>27070</v>
      </c>
      <c r="AH8" s="21">
        <f>ROUND((AG15+AG21+AG26)*Assumptions!$B$15*Assumptions!$B$16^(COLUMN()-4),0)</f>
        <v>27677</v>
      </c>
      <c r="AI8" s="21">
        <f>ROUND((AH15+AH21+AH26)*Assumptions!$B$15*Assumptions!$B$16^(COLUMN()-4),0)</f>
        <v>28246</v>
      </c>
      <c r="AJ8" s="21">
        <f>ROUND((AI15+AI21+AI26)*Assumptions!$B$15*Assumptions!$B$16^(COLUMN()-4),0)</f>
        <v>28774</v>
      </c>
      <c r="AK8" s="21">
        <f>ROUND((AJ15+AJ21+AJ26)*Assumptions!$B$15*Assumptions!$B$16^(COLUMN()-4),0)</f>
        <v>29263</v>
      </c>
      <c r="AL8" s="21">
        <f>ROUND((AK15+AK21+AK26)*Assumptions!$B$15*Assumptions!$B$16^(COLUMN()-4),0)</f>
        <v>29712</v>
      </c>
    </row>
    <row r="9" spans="1:38" x14ac:dyDescent="0.2">
      <c r="A9" s="17" t="s">
        <v>155</v>
      </c>
      <c r="B9" s="17" t="s">
        <v>152</v>
      </c>
      <c r="C9" s="18">
        <f t="shared" ref="C9:AL9" si="0">C6+C7+C8</f>
        <v>10500</v>
      </c>
      <c r="D9" s="18">
        <f t="shared" si="0"/>
        <v>12250</v>
      </c>
      <c r="E9" s="18">
        <f t="shared" si="0"/>
        <v>14079</v>
      </c>
      <c r="F9" s="18">
        <f t="shared" si="0"/>
        <v>15982</v>
      </c>
      <c r="G9" s="18">
        <f t="shared" si="0"/>
        <v>17956</v>
      </c>
      <c r="H9" s="18">
        <f t="shared" si="0"/>
        <v>19996</v>
      </c>
      <c r="I9" s="18">
        <f t="shared" si="0"/>
        <v>22098</v>
      </c>
      <c r="J9" s="18">
        <f t="shared" si="0"/>
        <v>24253</v>
      </c>
      <c r="K9" s="18">
        <f t="shared" si="0"/>
        <v>26458</v>
      </c>
      <c r="L9" s="18">
        <f t="shared" si="0"/>
        <v>28705</v>
      </c>
      <c r="M9" s="18">
        <f t="shared" si="0"/>
        <v>30989</v>
      </c>
      <c r="N9" s="18">
        <f t="shared" si="0"/>
        <v>33303</v>
      </c>
      <c r="O9" s="18">
        <f t="shared" si="0"/>
        <v>35641</v>
      </c>
      <c r="P9" s="18">
        <f t="shared" si="0"/>
        <v>37994</v>
      </c>
      <c r="Q9" s="18">
        <f t="shared" si="0"/>
        <v>40358</v>
      </c>
      <c r="R9" s="18">
        <f t="shared" si="0"/>
        <v>42727</v>
      </c>
      <c r="S9" s="18">
        <f t="shared" si="0"/>
        <v>45091</v>
      </c>
      <c r="T9" s="18">
        <f t="shared" si="0"/>
        <v>47446</v>
      </c>
      <c r="U9" s="18">
        <f t="shared" si="0"/>
        <v>49786</v>
      </c>
      <c r="V9" s="18">
        <f t="shared" si="0"/>
        <v>52106</v>
      </c>
      <c r="W9" s="18">
        <f t="shared" si="0"/>
        <v>54398</v>
      </c>
      <c r="X9" s="18">
        <f t="shared" si="0"/>
        <v>56660</v>
      </c>
      <c r="Y9" s="18">
        <f t="shared" si="0"/>
        <v>58885</v>
      </c>
      <c r="Z9" s="18">
        <f t="shared" si="0"/>
        <v>61069</v>
      </c>
      <c r="AA9" s="18">
        <f t="shared" si="0"/>
        <v>63209</v>
      </c>
      <c r="AB9" s="18">
        <f t="shared" si="0"/>
        <v>65300</v>
      </c>
      <c r="AC9" s="18">
        <f t="shared" si="0"/>
        <v>67340</v>
      </c>
      <c r="AD9" s="18">
        <f t="shared" si="0"/>
        <v>69325</v>
      </c>
      <c r="AE9" s="18">
        <f t="shared" si="0"/>
        <v>71252</v>
      </c>
      <c r="AF9" s="18">
        <f t="shared" si="0"/>
        <v>73119</v>
      </c>
      <c r="AG9" s="18">
        <f t="shared" si="0"/>
        <v>74926</v>
      </c>
      <c r="AH9" s="18">
        <f t="shared" si="0"/>
        <v>76668</v>
      </c>
      <c r="AI9" s="18">
        <f t="shared" si="0"/>
        <v>78347</v>
      </c>
      <c r="AJ9" s="18">
        <f t="shared" si="0"/>
        <v>79959</v>
      </c>
      <c r="AK9" s="18">
        <f t="shared" si="0"/>
        <v>81506</v>
      </c>
      <c r="AL9" s="18">
        <f t="shared" si="0"/>
        <v>82986</v>
      </c>
    </row>
    <row r="10" spans="1:38" x14ac:dyDescent="0.2">
      <c r="A10" s="3" t="s">
        <v>156</v>
      </c>
      <c r="B10" s="4"/>
      <c r="C10" s="4"/>
      <c r="D10" s="4"/>
      <c r="E10" s="4"/>
    </row>
    <row r="11" spans="1:38" x14ac:dyDescent="0.2">
      <c r="A11" s="6" t="s">
        <v>157</v>
      </c>
      <c r="B11" s="6" t="s">
        <v>152</v>
      </c>
      <c r="C11" s="22">
        <f>C9</f>
        <v>10500</v>
      </c>
      <c r="D11" s="22">
        <f t="shared" ref="D11:AL11" si="1">C15+D9</f>
        <v>21458</v>
      </c>
      <c r="E11" s="22">
        <f t="shared" si="1"/>
        <v>32897</v>
      </c>
      <c r="F11" s="22">
        <f t="shared" si="1"/>
        <v>44833</v>
      </c>
      <c r="G11" s="22">
        <f t="shared" si="1"/>
        <v>57274</v>
      </c>
      <c r="H11" s="22">
        <f t="shared" si="1"/>
        <v>70225</v>
      </c>
      <c r="I11" s="22">
        <f t="shared" si="1"/>
        <v>83685</v>
      </c>
      <c r="J11" s="22">
        <f t="shared" si="1"/>
        <v>97645</v>
      </c>
      <c r="K11" s="22">
        <f t="shared" si="1"/>
        <v>112092</v>
      </c>
      <c r="L11" s="22">
        <f t="shared" si="1"/>
        <v>127010</v>
      </c>
      <c r="M11" s="22">
        <f t="shared" si="1"/>
        <v>142377</v>
      </c>
      <c r="N11" s="22">
        <f t="shared" si="1"/>
        <v>158168</v>
      </c>
      <c r="O11" s="22">
        <f t="shared" si="1"/>
        <v>174355</v>
      </c>
      <c r="P11" s="22">
        <f t="shared" si="1"/>
        <v>190904</v>
      </c>
      <c r="Q11" s="22">
        <f t="shared" si="1"/>
        <v>207781</v>
      </c>
      <c r="R11" s="22">
        <f t="shared" si="1"/>
        <v>224952</v>
      </c>
      <c r="S11" s="22">
        <f t="shared" si="1"/>
        <v>242374</v>
      </c>
      <c r="T11" s="22">
        <f t="shared" si="1"/>
        <v>260008</v>
      </c>
      <c r="U11" s="22">
        <f t="shared" si="1"/>
        <v>277813</v>
      </c>
      <c r="V11" s="22">
        <f t="shared" si="1"/>
        <v>295748</v>
      </c>
      <c r="W11" s="22">
        <f t="shared" si="1"/>
        <v>313769</v>
      </c>
      <c r="X11" s="22">
        <f t="shared" si="1"/>
        <v>331835</v>
      </c>
      <c r="Y11" s="22">
        <f t="shared" si="1"/>
        <v>349904</v>
      </c>
      <c r="Z11" s="22">
        <f t="shared" si="1"/>
        <v>367935</v>
      </c>
      <c r="AA11" s="22">
        <f t="shared" si="1"/>
        <v>385888</v>
      </c>
      <c r="AB11" s="22">
        <f t="shared" si="1"/>
        <v>403724</v>
      </c>
      <c r="AC11" s="22">
        <f t="shared" si="1"/>
        <v>421406</v>
      </c>
      <c r="AD11" s="22">
        <f t="shared" si="1"/>
        <v>438899</v>
      </c>
      <c r="AE11" s="22">
        <f t="shared" si="1"/>
        <v>456167</v>
      </c>
      <c r="AF11" s="22">
        <f t="shared" si="1"/>
        <v>473178</v>
      </c>
      <c r="AG11" s="22">
        <f t="shared" si="1"/>
        <v>489904</v>
      </c>
      <c r="AH11" s="22">
        <f t="shared" si="1"/>
        <v>506314</v>
      </c>
      <c r="AI11" s="22">
        <f t="shared" si="1"/>
        <v>522384</v>
      </c>
      <c r="AJ11" s="22">
        <f t="shared" si="1"/>
        <v>538090</v>
      </c>
      <c r="AK11" s="22">
        <f t="shared" si="1"/>
        <v>553411</v>
      </c>
      <c r="AL11" s="22">
        <f t="shared" si="1"/>
        <v>568328</v>
      </c>
    </row>
    <row r="12" spans="1:38" x14ac:dyDescent="0.2">
      <c r="A12" s="6" t="s">
        <v>158</v>
      </c>
      <c r="B12" s="6" t="s">
        <v>152</v>
      </c>
      <c r="C12" s="21">
        <f>ROUND(C11*Assumptions!$B$19,0)</f>
        <v>368</v>
      </c>
      <c r="D12" s="21">
        <f>ROUND(D11*Assumptions!$B$19,0)</f>
        <v>751</v>
      </c>
      <c r="E12" s="21">
        <f>ROUND(E11*Assumptions!$B$19,0)</f>
        <v>1151</v>
      </c>
      <c r="F12" s="21">
        <f>ROUND(F11*Assumptions!$B$19,0)</f>
        <v>1569</v>
      </c>
      <c r="G12" s="21">
        <f>ROUND(G11*Assumptions!$B$19,0)</f>
        <v>2005</v>
      </c>
      <c r="H12" s="21">
        <f>ROUND(H11*Assumptions!$B$19,0)</f>
        <v>2458</v>
      </c>
      <c r="I12" s="21">
        <f>ROUND(I11*Assumptions!$B$19,0)</f>
        <v>2929</v>
      </c>
      <c r="J12" s="21">
        <f>ROUND(J11*Assumptions!$B$19,0)</f>
        <v>3418</v>
      </c>
      <c r="K12" s="21">
        <f>ROUND(K11*Assumptions!$B$19,0)</f>
        <v>3923</v>
      </c>
      <c r="L12" s="21">
        <f>ROUND(L11*Assumptions!$B$19,0)</f>
        <v>4445</v>
      </c>
      <c r="M12" s="21">
        <f>ROUND(M11*Assumptions!$B$19,0)</f>
        <v>4983</v>
      </c>
      <c r="N12" s="21">
        <f>ROUND(N11*Assumptions!$B$19,0)</f>
        <v>5536</v>
      </c>
      <c r="O12" s="21">
        <f>ROUND(O11*Assumptions!$B$19,0)</f>
        <v>6102</v>
      </c>
      <c r="P12" s="21">
        <f>ROUND(P11*Assumptions!$B$19,0)</f>
        <v>6682</v>
      </c>
      <c r="Q12" s="21">
        <f>ROUND(Q11*Assumptions!$B$19,0)</f>
        <v>7272</v>
      </c>
      <c r="R12" s="21">
        <f>ROUND(R11*Assumptions!$B$19,0)</f>
        <v>7873</v>
      </c>
      <c r="S12" s="21">
        <f>ROUND(S11*Assumptions!$B$19,0)</f>
        <v>8483</v>
      </c>
      <c r="T12" s="21">
        <f>ROUND(T11*Assumptions!$B$19,0)</f>
        <v>9100</v>
      </c>
      <c r="U12" s="21">
        <f>ROUND(U11*Assumptions!$B$19,0)</f>
        <v>9723</v>
      </c>
      <c r="V12" s="21">
        <f>ROUND(V11*Assumptions!$B$19,0)</f>
        <v>10351</v>
      </c>
      <c r="W12" s="21">
        <f>ROUND(W11*Assumptions!$B$19,0)</f>
        <v>10982</v>
      </c>
      <c r="X12" s="21">
        <f>ROUND(X11*Assumptions!$B$19,0)</f>
        <v>11614</v>
      </c>
      <c r="Y12" s="21">
        <f>ROUND(Y11*Assumptions!$B$19,0)</f>
        <v>12247</v>
      </c>
      <c r="Z12" s="21">
        <f>ROUND(Z11*Assumptions!$B$19,0)</f>
        <v>12878</v>
      </c>
      <c r="AA12" s="21">
        <f>ROUND(AA11*Assumptions!$B$19,0)</f>
        <v>13506</v>
      </c>
      <c r="AB12" s="21">
        <f>ROUND(AB11*Assumptions!$B$19,0)</f>
        <v>14130</v>
      </c>
      <c r="AC12" s="21">
        <f>ROUND(AC11*Assumptions!$B$19,0)</f>
        <v>14749</v>
      </c>
      <c r="AD12" s="21">
        <f>ROUND(AD11*Assumptions!$B$19,0)</f>
        <v>15361</v>
      </c>
      <c r="AE12" s="21">
        <f>ROUND(AE11*Assumptions!$B$19,0)</f>
        <v>15966</v>
      </c>
      <c r="AF12" s="21">
        <f>ROUND(AF11*Assumptions!$B$19,0)</f>
        <v>16561</v>
      </c>
      <c r="AG12" s="21">
        <f>ROUND(AG11*Assumptions!$B$19,0)</f>
        <v>17147</v>
      </c>
      <c r="AH12" s="21">
        <f>ROUND(AH11*Assumptions!$B$19,0)</f>
        <v>17721</v>
      </c>
      <c r="AI12" s="21">
        <f>ROUND(AI11*Assumptions!$B$19,0)</f>
        <v>18283</v>
      </c>
      <c r="AJ12" s="21">
        <f>ROUND(AJ11*Assumptions!$B$19,0)</f>
        <v>18833</v>
      </c>
      <c r="AK12" s="21">
        <f>ROUND(AK11*Assumptions!$B$19,0)</f>
        <v>19369</v>
      </c>
      <c r="AL12" s="21">
        <f>ROUND(AL11*Assumptions!$B$19,0)</f>
        <v>19891</v>
      </c>
    </row>
    <row r="13" spans="1:38" x14ac:dyDescent="0.2">
      <c r="A13" s="6" t="s">
        <v>159</v>
      </c>
      <c r="B13" s="6" t="s">
        <v>152</v>
      </c>
      <c r="C13" s="21">
        <f>ROUND(C11*Assumptions!$B$20,0)</f>
        <v>84</v>
      </c>
      <c r="D13" s="21">
        <f>ROUND(D11*Assumptions!$B$20,0)</f>
        <v>172</v>
      </c>
      <c r="E13" s="21">
        <f>ROUND(E11*Assumptions!$B$20,0)</f>
        <v>263</v>
      </c>
      <c r="F13" s="21">
        <f>ROUND(F11*Assumptions!$B$20,0)</f>
        <v>359</v>
      </c>
      <c r="G13" s="21">
        <f>ROUND(G11*Assumptions!$B$20,0)</f>
        <v>458</v>
      </c>
      <c r="H13" s="21">
        <f>ROUND(H11*Assumptions!$B$20,0)</f>
        <v>562</v>
      </c>
      <c r="I13" s="21">
        <f>ROUND(I11*Assumptions!$B$20,0)</f>
        <v>669</v>
      </c>
      <c r="J13" s="21">
        <f>ROUND(J11*Assumptions!$B$20,0)</f>
        <v>781</v>
      </c>
      <c r="K13" s="21">
        <f>ROUND(K11*Assumptions!$B$20,0)</f>
        <v>897</v>
      </c>
      <c r="L13" s="21">
        <f>ROUND(L11*Assumptions!$B$20,0)</f>
        <v>1016</v>
      </c>
      <c r="M13" s="21">
        <f>ROUND(M11*Assumptions!$B$20,0)</f>
        <v>1139</v>
      </c>
      <c r="N13" s="21">
        <f>ROUND(N11*Assumptions!$B$20,0)</f>
        <v>1265</v>
      </c>
      <c r="O13" s="21">
        <f>ROUND(O11*Assumptions!$B$20,0)</f>
        <v>1395</v>
      </c>
      <c r="P13" s="21">
        <f>ROUND(P11*Assumptions!$B$20,0)</f>
        <v>1527</v>
      </c>
      <c r="Q13" s="21">
        <f>ROUND(Q11*Assumptions!$B$20,0)</f>
        <v>1662</v>
      </c>
      <c r="R13" s="21">
        <f>ROUND(R11*Assumptions!$B$20,0)</f>
        <v>1800</v>
      </c>
      <c r="S13" s="21">
        <f>ROUND(S11*Assumptions!$B$20,0)</f>
        <v>1939</v>
      </c>
      <c r="T13" s="21">
        <f>ROUND(T11*Assumptions!$B$20,0)</f>
        <v>2080</v>
      </c>
      <c r="U13" s="21">
        <f>ROUND(U11*Assumptions!$B$20,0)</f>
        <v>2223</v>
      </c>
      <c r="V13" s="21">
        <f>ROUND(V11*Assumptions!$B$20,0)</f>
        <v>2366</v>
      </c>
      <c r="W13" s="21">
        <f>ROUND(W11*Assumptions!$B$20,0)</f>
        <v>2510</v>
      </c>
      <c r="X13" s="21">
        <f>ROUND(X11*Assumptions!$B$20,0)</f>
        <v>2655</v>
      </c>
      <c r="Y13" s="21">
        <f>ROUND(Y11*Assumptions!$B$20,0)</f>
        <v>2799</v>
      </c>
      <c r="Z13" s="21">
        <f>ROUND(Z11*Assumptions!$B$20,0)</f>
        <v>2943</v>
      </c>
      <c r="AA13" s="21">
        <f>ROUND(AA11*Assumptions!$B$20,0)</f>
        <v>3087</v>
      </c>
      <c r="AB13" s="21">
        <f>ROUND(AB11*Assumptions!$B$20,0)</f>
        <v>3230</v>
      </c>
      <c r="AC13" s="21">
        <f>ROUND(AC11*Assumptions!$B$20,0)</f>
        <v>3371</v>
      </c>
      <c r="AD13" s="21">
        <f>ROUND(AD11*Assumptions!$B$20,0)</f>
        <v>3511</v>
      </c>
      <c r="AE13" s="21">
        <f>ROUND(AE11*Assumptions!$B$20,0)</f>
        <v>3649</v>
      </c>
      <c r="AF13" s="21">
        <f>ROUND(AF11*Assumptions!$B$20,0)</f>
        <v>3785</v>
      </c>
      <c r="AG13" s="21">
        <f>ROUND(AG11*Assumptions!$B$20,0)</f>
        <v>3919</v>
      </c>
      <c r="AH13" s="21">
        <f>ROUND(AH11*Assumptions!$B$20,0)</f>
        <v>4051</v>
      </c>
      <c r="AI13" s="21">
        <f>ROUND(AI11*Assumptions!$B$20,0)</f>
        <v>4179</v>
      </c>
      <c r="AJ13" s="21">
        <f>ROUND(AJ11*Assumptions!$B$20,0)</f>
        <v>4305</v>
      </c>
      <c r="AK13" s="21">
        <f>ROUND(AK11*Assumptions!$B$20,0)</f>
        <v>4427</v>
      </c>
      <c r="AL13" s="21">
        <f>ROUND(AL11*Assumptions!$B$20,0)</f>
        <v>4547</v>
      </c>
    </row>
    <row r="14" spans="1:38" x14ac:dyDescent="0.2">
      <c r="A14" s="6" t="s">
        <v>160</v>
      </c>
      <c r="B14" s="6" t="s">
        <v>152</v>
      </c>
      <c r="C14" s="21">
        <f>ROUND(C11*Assumptions!$B$22,0)</f>
        <v>840</v>
      </c>
      <c r="D14" s="21">
        <f>ROUND(D11*Assumptions!$B$22,0)</f>
        <v>1717</v>
      </c>
      <c r="E14" s="21">
        <f>ROUND(E11*Assumptions!$B$22,0)</f>
        <v>2632</v>
      </c>
      <c r="F14" s="21">
        <f>ROUND(F11*Assumptions!$B$22,0)</f>
        <v>3587</v>
      </c>
      <c r="G14" s="21">
        <f>ROUND(G11*Assumptions!$B$22,0)</f>
        <v>4582</v>
      </c>
      <c r="H14" s="21">
        <f>ROUND(H11*Assumptions!$B$22,0)</f>
        <v>5618</v>
      </c>
      <c r="I14" s="21">
        <f>ROUND(I11*Assumptions!$B$22,0)</f>
        <v>6695</v>
      </c>
      <c r="J14" s="21">
        <f>ROUND(J11*Assumptions!$B$22,0)</f>
        <v>7812</v>
      </c>
      <c r="K14" s="21">
        <f>ROUND(K11*Assumptions!$B$22,0)</f>
        <v>8967</v>
      </c>
      <c r="L14" s="21">
        <f>ROUND(L11*Assumptions!$B$22,0)</f>
        <v>10161</v>
      </c>
      <c r="M14" s="21">
        <f>ROUND(M11*Assumptions!$B$22,0)</f>
        <v>11390</v>
      </c>
      <c r="N14" s="21">
        <f>ROUND(N11*Assumptions!$B$22,0)</f>
        <v>12653</v>
      </c>
      <c r="O14" s="21">
        <f>ROUND(O11*Assumptions!$B$22,0)</f>
        <v>13948</v>
      </c>
      <c r="P14" s="21">
        <f>ROUND(P11*Assumptions!$B$22,0)</f>
        <v>15272</v>
      </c>
      <c r="Q14" s="21">
        <f>ROUND(Q11*Assumptions!$B$22,0)</f>
        <v>16622</v>
      </c>
      <c r="R14" s="21">
        <f>ROUND(R11*Assumptions!$B$22,0)</f>
        <v>17996</v>
      </c>
      <c r="S14" s="21">
        <f>ROUND(S11*Assumptions!$B$22,0)</f>
        <v>19390</v>
      </c>
      <c r="T14" s="21">
        <f>ROUND(T11*Assumptions!$B$22,0)</f>
        <v>20801</v>
      </c>
      <c r="U14" s="21">
        <f>ROUND(U11*Assumptions!$B$22,0)</f>
        <v>22225</v>
      </c>
      <c r="V14" s="21">
        <f>ROUND(V11*Assumptions!$B$22,0)</f>
        <v>23660</v>
      </c>
      <c r="W14" s="21">
        <f>ROUND(W11*Assumptions!$B$22,0)</f>
        <v>25102</v>
      </c>
      <c r="X14" s="21">
        <f>ROUND(X11*Assumptions!$B$22,0)</f>
        <v>26547</v>
      </c>
      <c r="Y14" s="21">
        <f>ROUND(Y11*Assumptions!$B$22,0)</f>
        <v>27992</v>
      </c>
      <c r="Z14" s="21">
        <f>ROUND(Z11*Assumptions!$B$22,0)</f>
        <v>29435</v>
      </c>
      <c r="AA14" s="21">
        <f>ROUND(AA11*Assumptions!$B$22,0)</f>
        <v>30871</v>
      </c>
      <c r="AB14" s="21">
        <f>ROUND(AB11*Assumptions!$B$22,0)</f>
        <v>32298</v>
      </c>
      <c r="AC14" s="21">
        <f>ROUND(AC11*Assumptions!$B$22,0)</f>
        <v>33712</v>
      </c>
      <c r="AD14" s="21">
        <f>ROUND(AD11*Assumptions!$B$22,0)</f>
        <v>35112</v>
      </c>
      <c r="AE14" s="21">
        <f>ROUND(AE11*Assumptions!$B$22,0)</f>
        <v>36493</v>
      </c>
      <c r="AF14" s="21">
        <f>ROUND(AF11*Assumptions!$B$22,0)</f>
        <v>37854</v>
      </c>
      <c r="AG14" s="21">
        <f>ROUND(AG11*Assumptions!$B$22,0)</f>
        <v>39192</v>
      </c>
      <c r="AH14" s="21">
        <f>ROUND(AH11*Assumptions!$B$22,0)</f>
        <v>40505</v>
      </c>
      <c r="AI14" s="21">
        <f>ROUND(AI11*Assumptions!$B$22,0)</f>
        <v>41791</v>
      </c>
      <c r="AJ14" s="21">
        <f>ROUND(AJ11*Assumptions!$B$22,0)</f>
        <v>43047</v>
      </c>
      <c r="AK14" s="21">
        <f>ROUND(AK11*Assumptions!$B$22,0)</f>
        <v>44273</v>
      </c>
      <c r="AL14" s="21">
        <f>ROUND(AL11*Assumptions!$B$22,0)</f>
        <v>45466</v>
      </c>
    </row>
    <row r="15" spans="1:38" x14ac:dyDescent="0.2">
      <c r="A15" s="17" t="s">
        <v>161</v>
      </c>
      <c r="B15" s="17" t="s">
        <v>152</v>
      </c>
      <c r="C15" s="18">
        <f t="shared" ref="C15:AL15" si="2">C11-C12-C13-C14</f>
        <v>9208</v>
      </c>
      <c r="D15" s="18">
        <f t="shared" si="2"/>
        <v>18818</v>
      </c>
      <c r="E15" s="18">
        <f t="shared" si="2"/>
        <v>28851</v>
      </c>
      <c r="F15" s="18">
        <f t="shared" si="2"/>
        <v>39318</v>
      </c>
      <c r="G15" s="18">
        <f t="shared" si="2"/>
        <v>50229</v>
      </c>
      <c r="H15" s="18">
        <f t="shared" si="2"/>
        <v>61587</v>
      </c>
      <c r="I15" s="18">
        <f t="shared" si="2"/>
        <v>73392</v>
      </c>
      <c r="J15" s="18">
        <f t="shared" si="2"/>
        <v>85634</v>
      </c>
      <c r="K15" s="18">
        <f t="shared" si="2"/>
        <v>98305</v>
      </c>
      <c r="L15" s="18">
        <f t="shared" si="2"/>
        <v>111388</v>
      </c>
      <c r="M15" s="18">
        <f t="shared" si="2"/>
        <v>124865</v>
      </c>
      <c r="N15" s="18">
        <f t="shared" si="2"/>
        <v>138714</v>
      </c>
      <c r="O15" s="18">
        <f t="shared" si="2"/>
        <v>152910</v>
      </c>
      <c r="P15" s="18">
        <f t="shared" si="2"/>
        <v>167423</v>
      </c>
      <c r="Q15" s="18">
        <f t="shared" si="2"/>
        <v>182225</v>
      </c>
      <c r="R15" s="18">
        <f t="shared" si="2"/>
        <v>197283</v>
      </c>
      <c r="S15" s="18">
        <f t="shared" si="2"/>
        <v>212562</v>
      </c>
      <c r="T15" s="18">
        <f t="shared" si="2"/>
        <v>228027</v>
      </c>
      <c r="U15" s="18">
        <f t="shared" si="2"/>
        <v>243642</v>
      </c>
      <c r="V15" s="18">
        <f t="shared" si="2"/>
        <v>259371</v>
      </c>
      <c r="W15" s="18">
        <f t="shared" si="2"/>
        <v>275175</v>
      </c>
      <c r="X15" s="18">
        <f t="shared" si="2"/>
        <v>291019</v>
      </c>
      <c r="Y15" s="18">
        <f t="shared" si="2"/>
        <v>306866</v>
      </c>
      <c r="Z15" s="18">
        <f t="shared" si="2"/>
        <v>322679</v>
      </c>
      <c r="AA15" s="18">
        <f t="shared" si="2"/>
        <v>338424</v>
      </c>
      <c r="AB15" s="18">
        <f t="shared" si="2"/>
        <v>354066</v>
      </c>
      <c r="AC15" s="18">
        <f t="shared" si="2"/>
        <v>369574</v>
      </c>
      <c r="AD15" s="18">
        <f t="shared" si="2"/>
        <v>384915</v>
      </c>
      <c r="AE15" s="18">
        <f t="shared" si="2"/>
        <v>400059</v>
      </c>
      <c r="AF15" s="18">
        <f t="shared" si="2"/>
        <v>414978</v>
      </c>
      <c r="AG15" s="18">
        <f t="shared" si="2"/>
        <v>429646</v>
      </c>
      <c r="AH15" s="18">
        <f t="shared" si="2"/>
        <v>444037</v>
      </c>
      <c r="AI15" s="18">
        <f t="shared" si="2"/>
        <v>458131</v>
      </c>
      <c r="AJ15" s="18">
        <f t="shared" si="2"/>
        <v>471905</v>
      </c>
      <c r="AK15" s="18">
        <f t="shared" si="2"/>
        <v>485342</v>
      </c>
      <c r="AL15" s="18">
        <f t="shared" si="2"/>
        <v>498424</v>
      </c>
    </row>
    <row r="16" spans="1:38" x14ac:dyDescent="0.2">
      <c r="A16" s="3" t="s">
        <v>162</v>
      </c>
      <c r="B16" s="4"/>
      <c r="C16" s="4"/>
      <c r="D16" s="4"/>
      <c r="E16" s="4"/>
    </row>
    <row r="17" spans="1:38" x14ac:dyDescent="0.2">
      <c r="A17" s="6" t="s">
        <v>163</v>
      </c>
      <c r="B17" s="6" t="s">
        <v>152</v>
      </c>
      <c r="C17" s="22">
        <f>0</f>
        <v>0</v>
      </c>
      <c r="D17" s="22">
        <f t="shared" ref="D17:AL17" si="3">C21</f>
        <v>343</v>
      </c>
      <c r="E17" s="22">
        <f t="shared" si="3"/>
        <v>1017</v>
      </c>
      <c r="F17" s="22">
        <f t="shared" si="3"/>
        <v>2017</v>
      </c>
      <c r="G17" s="22">
        <f t="shared" si="3"/>
        <v>3335</v>
      </c>
      <c r="H17" s="22">
        <f t="shared" si="3"/>
        <v>4966</v>
      </c>
      <c r="I17" s="22">
        <f t="shared" si="3"/>
        <v>6905</v>
      </c>
      <c r="J17" s="22">
        <f t="shared" si="3"/>
        <v>9145</v>
      </c>
      <c r="K17" s="22">
        <f t="shared" si="3"/>
        <v>11684</v>
      </c>
      <c r="L17" s="22">
        <f t="shared" si="3"/>
        <v>14515</v>
      </c>
      <c r="M17" s="22">
        <f t="shared" si="3"/>
        <v>17633</v>
      </c>
      <c r="N17" s="22">
        <f t="shared" si="3"/>
        <v>21033</v>
      </c>
      <c r="O17" s="22">
        <f t="shared" si="3"/>
        <v>24710</v>
      </c>
      <c r="P17" s="22">
        <f t="shared" si="3"/>
        <v>28655</v>
      </c>
      <c r="Q17" s="22">
        <f t="shared" si="3"/>
        <v>32863</v>
      </c>
      <c r="R17" s="22">
        <f t="shared" si="3"/>
        <v>37325</v>
      </c>
      <c r="S17" s="22">
        <f t="shared" si="3"/>
        <v>42034</v>
      </c>
      <c r="T17" s="22">
        <f t="shared" si="3"/>
        <v>46981</v>
      </c>
      <c r="U17" s="22">
        <f t="shared" si="3"/>
        <v>52155</v>
      </c>
      <c r="V17" s="22">
        <f t="shared" si="3"/>
        <v>57546</v>
      </c>
      <c r="W17" s="22">
        <f t="shared" si="3"/>
        <v>63144</v>
      </c>
      <c r="X17" s="22">
        <f t="shared" si="3"/>
        <v>68937</v>
      </c>
      <c r="Y17" s="22">
        <f t="shared" si="3"/>
        <v>74912</v>
      </c>
      <c r="Z17" s="22">
        <f t="shared" si="3"/>
        <v>81058</v>
      </c>
      <c r="AA17" s="22">
        <f t="shared" si="3"/>
        <v>87360</v>
      </c>
      <c r="AB17" s="22">
        <f t="shared" si="3"/>
        <v>93806</v>
      </c>
      <c r="AC17" s="22">
        <f t="shared" si="3"/>
        <v>100380</v>
      </c>
      <c r="AD17" s="22">
        <f t="shared" si="3"/>
        <v>107070</v>
      </c>
      <c r="AE17" s="22">
        <f t="shared" si="3"/>
        <v>113860</v>
      </c>
      <c r="AF17" s="22">
        <f t="shared" si="3"/>
        <v>120738</v>
      </c>
      <c r="AG17" s="22">
        <f t="shared" si="3"/>
        <v>127688</v>
      </c>
      <c r="AH17" s="22">
        <f t="shared" si="3"/>
        <v>134696</v>
      </c>
      <c r="AI17" s="22">
        <f t="shared" si="3"/>
        <v>141748</v>
      </c>
      <c r="AJ17" s="22">
        <f t="shared" si="3"/>
        <v>148828</v>
      </c>
      <c r="AK17" s="22">
        <f t="shared" si="3"/>
        <v>155925</v>
      </c>
      <c r="AL17" s="22">
        <f t="shared" si="3"/>
        <v>163023</v>
      </c>
    </row>
    <row r="18" spans="1:38" x14ac:dyDescent="0.2">
      <c r="A18" s="6" t="s">
        <v>164</v>
      </c>
      <c r="B18" s="6" t="s">
        <v>152</v>
      </c>
      <c r="C18" s="22">
        <f t="shared" ref="C18:AL18" si="4">C12</f>
        <v>368</v>
      </c>
      <c r="D18" s="22">
        <f t="shared" si="4"/>
        <v>751</v>
      </c>
      <c r="E18" s="22">
        <f t="shared" si="4"/>
        <v>1151</v>
      </c>
      <c r="F18" s="22">
        <f t="shared" si="4"/>
        <v>1569</v>
      </c>
      <c r="G18" s="22">
        <f t="shared" si="4"/>
        <v>2005</v>
      </c>
      <c r="H18" s="22">
        <f t="shared" si="4"/>
        <v>2458</v>
      </c>
      <c r="I18" s="22">
        <f t="shared" si="4"/>
        <v>2929</v>
      </c>
      <c r="J18" s="22">
        <f t="shared" si="4"/>
        <v>3418</v>
      </c>
      <c r="K18" s="22">
        <f t="shared" si="4"/>
        <v>3923</v>
      </c>
      <c r="L18" s="22">
        <f t="shared" si="4"/>
        <v>4445</v>
      </c>
      <c r="M18" s="22">
        <f t="shared" si="4"/>
        <v>4983</v>
      </c>
      <c r="N18" s="22">
        <f t="shared" si="4"/>
        <v>5536</v>
      </c>
      <c r="O18" s="22">
        <f t="shared" si="4"/>
        <v>6102</v>
      </c>
      <c r="P18" s="22">
        <f t="shared" si="4"/>
        <v>6682</v>
      </c>
      <c r="Q18" s="22">
        <f t="shared" si="4"/>
        <v>7272</v>
      </c>
      <c r="R18" s="22">
        <f t="shared" si="4"/>
        <v>7873</v>
      </c>
      <c r="S18" s="22">
        <f t="shared" si="4"/>
        <v>8483</v>
      </c>
      <c r="T18" s="22">
        <f t="shared" si="4"/>
        <v>9100</v>
      </c>
      <c r="U18" s="22">
        <f t="shared" si="4"/>
        <v>9723</v>
      </c>
      <c r="V18" s="22">
        <f t="shared" si="4"/>
        <v>10351</v>
      </c>
      <c r="W18" s="22">
        <f t="shared" si="4"/>
        <v>10982</v>
      </c>
      <c r="X18" s="22">
        <f t="shared" si="4"/>
        <v>11614</v>
      </c>
      <c r="Y18" s="22">
        <f t="shared" si="4"/>
        <v>12247</v>
      </c>
      <c r="Z18" s="22">
        <f t="shared" si="4"/>
        <v>12878</v>
      </c>
      <c r="AA18" s="22">
        <f t="shared" si="4"/>
        <v>13506</v>
      </c>
      <c r="AB18" s="22">
        <f t="shared" si="4"/>
        <v>14130</v>
      </c>
      <c r="AC18" s="22">
        <f t="shared" si="4"/>
        <v>14749</v>
      </c>
      <c r="AD18" s="22">
        <f t="shared" si="4"/>
        <v>15361</v>
      </c>
      <c r="AE18" s="22">
        <f t="shared" si="4"/>
        <v>15966</v>
      </c>
      <c r="AF18" s="22">
        <f t="shared" si="4"/>
        <v>16561</v>
      </c>
      <c r="AG18" s="22">
        <f t="shared" si="4"/>
        <v>17147</v>
      </c>
      <c r="AH18" s="22">
        <f t="shared" si="4"/>
        <v>17721</v>
      </c>
      <c r="AI18" s="22">
        <f t="shared" si="4"/>
        <v>18283</v>
      </c>
      <c r="AJ18" s="22">
        <f t="shared" si="4"/>
        <v>18833</v>
      </c>
      <c r="AK18" s="22">
        <f t="shared" si="4"/>
        <v>19369</v>
      </c>
      <c r="AL18" s="22">
        <f t="shared" si="4"/>
        <v>19891</v>
      </c>
    </row>
    <row r="19" spans="1:38" x14ac:dyDescent="0.2">
      <c r="A19" s="6" t="s">
        <v>165</v>
      </c>
      <c r="B19" s="6" t="s">
        <v>152</v>
      </c>
      <c r="C19" s="21">
        <f>ROUND((C17+C18)*Assumptions!$B$21,0)</f>
        <v>7</v>
      </c>
      <c r="D19" s="21">
        <f>ROUND((D17+D18)*Assumptions!$B$21,0)</f>
        <v>22</v>
      </c>
      <c r="E19" s="21">
        <f>ROUND((E17+E18)*Assumptions!$B$21,0)</f>
        <v>43</v>
      </c>
      <c r="F19" s="21">
        <f>ROUND((F17+F18)*Assumptions!$B$21,0)</f>
        <v>72</v>
      </c>
      <c r="G19" s="21">
        <f>ROUND((G17+G18)*Assumptions!$B$21,0)</f>
        <v>107</v>
      </c>
      <c r="H19" s="21">
        <f>ROUND((H17+H18)*Assumptions!$B$21,0)</f>
        <v>148</v>
      </c>
      <c r="I19" s="21">
        <f>ROUND((I17+I18)*Assumptions!$B$21,0)</f>
        <v>197</v>
      </c>
      <c r="J19" s="21">
        <f>ROUND((J17+J18)*Assumptions!$B$21,0)</f>
        <v>251</v>
      </c>
      <c r="K19" s="21">
        <f>ROUND((K17+K18)*Assumptions!$B$21,0)</f>
        <v>312</v>
      </c>
      <c r="L19" s="21">
        <f>ROUND((L17+L18)*Assumptions!$B$21,0)</f>
        <v>379</v>
      </c>
      <c r="M19" s="21">
        <f>ROUND((M17+M18)*Assumptions!$B$21,0)</f>
        <v>452</v>
      </c>
      <c r="N19" s="21">
        <f>ROUND((N17+N18)*Assumptions!$B$21,0)</f>
        <v>531</v>
      </c>
      <c r="O19" s="21">
        <f>ROUND((O17+O18)*Assumptions!$B$21,0)</f>
        <v>616</v>
      </c>
      <c r="P19" s="21">
        <f>ROUND((P17+P18)*Assumptions!$B$21,0)</f>
        <v>707</v>
      </c>
      <c r="Q19" s="21">
        <f>ROUND((Q17+Q18)*Assumptions!$B$21,0)</f>
        <v>803</v>
      </c>
      <c r="R19" s="21">
        <f>ROUND((R17+R18)*Assumptions!$B$21,0)</f>
        <v>904</v>
      </c>
      <c r="S19" s="21">
        <f>ROUND((S17+S18)*Assumptions!$B$21,0)</f>
        <v>1010</v>
      </c>
      <c r="T19" s="21">
        <f>ROUND((T17+T18)*Assumptions!$B$21,0)</f>
        <v>1122</v>
      </c>
      <c r="U19" s="21">
        <f>ROUND((U17+U18)*Assumptions!$B$21,0)</f>
        <v>1238</v>
      </c>
      <c r="V19" s="21">
        <f>ROUND((V17+V18)*Assumptions!$B$21,0)</f>
        <v>1358</v>
      </c>
      <c r="W19" s="21">
        <f>ROUND((W17+W18)*Assumptions!$B$21,0)</f>
        <v>1483</v>
      </c>
      <c r="X19" s="21">
        <f>ROUND((X17+X18)*Assumptions!$B$21,0)</f>
        <v>1611</v>
      </c>
      <c r="Y19" s="21">
        <f>ROUND((Y17+Y18)*Assumptions!$B$21,0)</f>
        <v>1743</v>
      </c>
      <c r="Z19" s="21">
        <f>ROUND((Z17+Z18)*Assumptions!$B$21,0)</f>
        <v>1879</v>
      </c>
      <c r="AA19" s="21">
        <f>ROUND((AA17+AA18)*Assumptions!$B$21,0)</f>
        <v>2017</v>
      </c>
      <c r="AB19" s="21">
        <f>ROUND((AB17+AB18)*Assumptions!$B$21,0)</f>
        <v>2159</v>
      </c>
      <c r="AC19" s="21">
        <f>ROUND((AC17+AC18)*Assumptions!$B$21,0)</f>
        <v>2303</v>
      </c>
      <c r="AD19" s="21">
        <f>ROUND((AD17+AD18)*Assumptions!$B$21,0)</f>
        <v>2449</v>
      </c>
      <c r="AE19" s="21">
        <f>ROUND((AE17+AE18)*Assumptions!$B$21,0)</f>
        <v>2597</v>
      </c>
      <c r="AF19" s="21">
        <f>ROUND((AF17+AF18)*Assumptions!$B$21,0)</f>
        <v>2746</v>
      </c>
      <c r="AG19" s="21">
        <f>ROUND((AG17+AG18)*Assumptions!$B$21,0)</f>
        <v>2897</v>
      </c>
      <c r="AH19" s="21">
        <f>ROUND((AH17+AH18)*Assumptions!$B$21,0)</f>
        <v>3048</v>
      </c>
      <c r="AI19" s="21">
        <f>ROUND((AI17+AI18)*Assumptions!$B$21,0)</f>
        <v>3201</v>
      </c>
      <c r="AJ19" s="21">
        <f>ROUND((AJ17+AJ18)*Assumptions!$B$21,0)</f>
        <v>3353</v>
      </c>
      <c r="AK19" s="21">
        <f>ROUND((AK17+AK18)*Assumptions!$B$21,0)</f>
        <v>3506</v>
      </c>
      <c r="AL19" s="21">
        <f>ROUND((AL17+AL18)*Assumptions!$B$21,0)</f>
        <v>3658</v>
      </c>
    </row>
    <row r="20" spans="1:38" x14ac:dyDescent="0.2">
      <c r="A20" s="6" t="s">
        <v>160</v>
      </c>
      <c r="B20" s="6" t="s">
        <v>152</v>
      </c>
      <c r="C20" s="21">
        <f>ROUND((C17+C18)*Assumptions!$B$23,0)</f>
        <v>18</v>
      </c>
      <c r="D20" s="21">
        <f>ROUND((D17+D18)*Assumptions!$B$23,0)</f>
        <v>55</v>
      </c>
      <c r="E20" s="21">
        <f>ROUND((E17+E18)*Assumptions!$B$23,0)</f>
        <v>108</v>
      </c>
      <c r="F20" s="21">
        <f>ROUND((F17+F18)*Assumptions!$B$23,0)</f>
        <v>179</v>
      </c>
      <c r="G20" s="21">
        <f>ROUND((G17+G18)*Assumptions!$B$23,0)</f>
        <v>267</v>
      </c>
      <c r="H20" s="21">
        <f>ROUND((H17+H18)*Assumptions!$B$23,0)</f>
        <v>371</v>
      </c>
      <c r="I20" s="21">
        <f>ROUND((I17+I18)*Assumptions!$B$23,0)</f>
        <v>492</v>
      </c>
      <c r="J20" s="21">
        <f>ROUND((J17+J18)*Assumptions!$B$23,0)</f>
        <v>628</v>
      </c>
      <c r="K20" s="21">
        <f>ROUND((K17+K18)*Assumptions!$B$23,0)</f>
        <v>780</v>
      </c>
      <c r="L20" s="21">
        <f>ROUND((L17+L18)*Assumptions!$B$23,0)</f>
        <v>948</v>
      </c>
      <c r="M20" s="21">
        <f>ROUND((M17+M18)*Assumptions!$B$23,0)</f>
        <v>1131</v>
      </c>
      <c r="N20" s="21">
        <f>ROUND((N17+N18)*Assumptions!$B$23,0)</f>
        <v>1328</v>
      </c>
      <c r="O20" s="21">
        <f>ROUND((O17+O18)*Assumptions!$B$23,0)</f>
        <v>1541</v>
      </c>
      <c r="P20" s="21">
        <f>ROUND((P17+P18)*Assumptions!$B$23,0)</f>
        <v>1767</v>
      </c>
      <c r="Q20" s="21">
        <f>ROUND((Q17+Q18)*Assumptions!$B$23,0)</f>
        <v>2007</v>
      </c>
      <c r="R20" s="21">
        <f>ROUND((R17+R18)*Assumptions!$B$23,0)</f>
        <v>2260</v>
      </c>
      <c r="S20" s="21">
        <f>ROUND((S17+S18)*Assumptions!$B$23,0)</f>
        <v>2526</v>
      </c>
      <c r="T20" s="21">
        <f>ROUND((T17+T18)*Assumptions!$B$23,0)</f>
        <v>2804</v>
      </c>
      <c r="U20" s="21">
        <f>ROUND((U17+U18)*Assumptions!$B$23,0)</f>
        <v>3094</v>
      </c>
      <c r="V20" s="21">
        <f>ROUND((V17+V18)*Assumptions!$B$23,0)</f>
        <v>3395</v>
      </c>
      <c r="W20" s="21">
        <f>ROUND((W17+W18)*Assumptions!$B$23,0)</f>
        <v>3706</v>
      </c>
      <c r="X20" s="21">
        <f>ROUND((X17+X18)*Assumptions!$B$23,0)</f>
        <v>4028</v>
      </c>
      <c r="Y20" s="21">
        <f>ROUND((Y17+Y18)*Assumptions!$B$23,0)</f>
        <v>4358</v>
      </c>
      <c r="Z20" s="21">
        <f>ROUND((Z17+Z18)*Assumptions!$B$23,0)</f>
        <v>4697</v>
      </c>
      <c r="AA20" s="21">
        <f>ROUND((AA17+AA18)*Assumptions!$B$23,0)</f>
        <v>5043</v>
      </c>
      <c r="AB20" s="21">
        <f>ROUND((AB17+AB18)*Assumptions!$B$23,0)</f>
        <v>5397</v>
      </c>
      <c r="AC20" s="21">
        <f>ROUND((AC17+AC18)*Assumptions!$B$23,0)</f>
        <v>5756</v>
      </c>
      <c r="AD20" s="21">
        <f>ROUND((AD17+AD18)*Assumptions!$B$23,0)</f>
        <v>6122</v>
      </c>
      <c r="AE20" s="21">
        <f>ROUND((AE17+AE18)*Assumptions!$B$23,0)</f>
        <v>6491</v>
      </c>
      <c r="AF20" s="21">
        <f>ROUND((AF17+AF18)*Assumptions!$B$23,0)</f>
        <v>6865</v>
      </c>
      <c r="AG20" s="21">
        <f>ROUND((AG17+AG18)*Assumptions!$B$23,0)</f>
        <v>7242</v>
      </c>
      <c r="AH20" s="21">
        <f>ROUND((AH17+AH18)*Assumptions!$B$23,0)</f>
        <v>7621</v>
      </c>
      <c r="AI20" s="21">
        <f>ROUND((AI17+AI18)*Assumptions!$B$23,0)</f>
        <v>8002</v>
      </c>
      <c r="AJ20" s="21">
        <f>ROUND((AJ17+AJ18)*Assumptions!$B$23,0)</f>
        <v>8383</v>
      </c>
      <c r="AK20" s="21">
        <f>ROUND((AK17+AK18)*Assumptions!$B$23,0)</f>
        <v>8765</v>
      </c>
      <c r="AL20" s="21">
        <f>ROUND((AL17+AL18)*Assumptions!$B$23,0)</f>
        <v>9146</v>
      </c>
    </row>
    <row r="21" spans="1:38" x14ac:dyDescent="0.2">
      <c r="A21" s="17" t="s">
        <v>166</v>
      </c>
      <c r="B21" s="17" t="s">
        <v>152</v>
      </c>
      <c r="C21" s="18">
        <f t="shared" ref="C21:AL21" si="5">C17+C18-C19-C20</f>
        <v>343</v>
      </c>
      <c r="D21" s="18">
        <f t="shared" si="5"/>
        <v>1017</v>
      </c>
      <c r="E21" s="18">
        <f t="shared" si="5"/>
        <v>2017</v>
      </c>
      <c r="F21" s="18">
        <f t="shared" si="5"/>
        <v>3335</v>
      </c>
      <c r="G21" s="18">
        <f t="shared" si="5"/>
        <v>4966</v>
      </c>
      <c r="H21" s="18">
        <f t="shared" si="5"/>
        <v>6905</v>
      </c>
      <c r="I21" s="18">
        <f t="shared" si="5"/>
        <v>9145</v>
      </c>
      <c r="J21" s="18">
        <f t="shared" si="5"/>
        <v>11684</v>
      </c>
      <c r="K21" s="18">
        <f t="shared" si="5"/>
        <v>14515</v>
      </c>
      <c r="L21" s="18">
        <f t="shared" si="5"/>
        <v>17633</v>
      </c>
      <c r="M21" s="18">
        <f t="shared" si="5"/>
        <v>21033</v>
      </c>
      <c r="N21" s="18">
        <f t="shared" si="5"/>
        <v>24710</v>
      </c>
      <c r="O21" s="18">
        <f t="shared" si="5"/>
        <v>28655</v>
      </c>
      <c r="P21" s="18">
        <f t="shared" si="5"/>
        <v>32863</v>
      </c>
      <c r="Q21" s="18">
        <f t="shared" si="5"/>
        <v>37325</v>
      </c>
      <c r="R21" s="18">
        <f t="shared" si="5"/>
        <v>42034</v>
      </c>
      <c r="S21" s="18">
        <f t="shared" si="5"/>
        <v>46981</v>
      </c>
      <c r="T21" s="18">
        <f t="shared" si="5"/>
        <v>52155</v>
      </c>
      <c r="U21" s="18">
        <f t="shared" si="5"/>
        <v>57546</v>
      </c>
      <c r="V21" s="18">
        <f t="shared" si="5"/>
        <v>63144</v>
      </c>
      <c r="W21" s="18">
        <f t="shared" si="5"/>
        <v>68937</v>
      </c>
      <c r="X21" s="18">
        <f t="shared" si="5"/>
        <v>74912</v>
      </c>
      <c r="Y21" s="18">
        <f t="shared" si="5"/>
        <v>81058</v>
      </c>
      <c r="Z21" s="18">
        <f t="shared" si="5"/>
        <v>87360</v>
      </c>
      <c r="AA21" s="18">
        <f t="shared" si="5"/>
        <v>93806</v>
      </c>
      <c r="AB21" s="18">
        <f t="shared" si="5"/>
        <v>100380</v>
      </c>
      <c r="AC21" s="18">
        <f t="shared" si="5"/>
        <v>107070</v>
      </c>
      <c r="AD21" s="18">
        <f t="shared" si="5"/>
        <v>113860</v>
      </c>
      <c r="AE21" s="18">
        <f t="shared" si="5"/>
        <v>120738</v>
      </c>
      <c r="AF21" s="18">
        <f t="shared" si="5"/>
        <v>127688</v>
      </c>
      <c r="AG21" s="18">
        <f t="shared" si="5"/>
        <v>134696</v>
      </c>
      <c r="AH21" s="18">
        <f t="shared" si="5"/>
        <v>141748</v>
      </c>
      <c r="AI21" s="18">
        <f t="shared" si="5"/>
        <v>148828</v>
      </c>
      <c r="AJ21" s="18">
        <f t="shared" si="5"/>
        <v>155925</v>
      </c>
      <c r="AK21" s="18">
        <f t="shared" si="5"/>
        <v>163023</v>
      </c>
      <c r="AL21" s="18">
        <f t="shared" si="5"/>
        <v>170110</v>
      </c>
    </row>
    <row r="22" spans="1:38" x14ac:dyDescent="0.2">
      <c r="A22" s="3" t="s">
        <v>167</v>
      </c>
      <c r="B22" s="4"/>
      <c r="C22" s="4"/>
      <c r="D22" s="4"/>
      <c r="E22" s="4"/>
    </row>
    <row r="23" spans="1:38" x14ac:dyDescent="0.2">
      <c r="A23" s="6" t="s">
        <v>168</v>
      </c>
      <c r="B23" s="6" t="s">
        <v>152</v>
      </c>
      <c r="C23" s="22">
        <f>0</f>
        <v>0</v>
      </c>
      <c r="D23" s="22">
        <f t="shared" ref="D23:AL23" si="6">C26</f>
        <v>88</v>
      </c>
      <c r="E23" s="22">
        <f t="shared" si="6"/>
        <v>274</v>
      </c>
      <c r="F23" s="22">
        <f t="shared" si="6"/>
        <v>563</v>
      </c>
      <c r="G23" s="22">
        <f t="shared" si="6"/>
        <v>964</v>
      </c>
      <c r="H23" s="22">
        <f t="shared" si="6"/>
        <v>1483</v>
      </c>
      <c r="I23" s="22">
        <f t="shared" si="6"/>
        <v>2127</v>
      </c>
      <c r="J23" s="22">
        <f t="shared" si="6"/>
        <v>2903</v>
      </c>
      <c r="K23" s="22">
        <f t="shared" si="6"/>
        <v>3817</v>
      </c>
      <c r="L23" s="22">
        <f t="shared" si="6"/>
        <v>4875</v>
      </c>
      <c r="M23" s="22">
        <f t="shared" si="6"/>
        <v>6082</v>
      </c>
      <c r="N23" s="22">
        <f t="shared" si="6"/>
        <v>7443</v>
      </c>
      <c r="O23" s="22">
        <f t="shared" si="6"/>
        <v>8962</v>
      </c>
      <c r="P23" s="22">
        <f t="shared" si="6"/>
        <v>10644</v>
      </c>
      <c r="Q23" s="22">
        <f t="shared" si="6"/>
        <v>12492</v>
      </c>
      <c r="R23" s="22">
        <f t="shared" si="6"/>
        <v>14508</v>
      </c>
      <c r="S23" s="22">
        <f t="shared" si="6"/>
        <v>16696</v>
      </c>
      <c r="T23" s="22">
        <f t="shared" si="6"/>
        <v>19056</v>
      </c>
      <c r="U23" s="22">
        <f t="shared" si="6"/>
        <v>21590</v>
      </c>
      <c r="V23" s="22">
        <f t="shared" si="6"/>
        <v>24299</v>
      </c>
      <c r="W23" s="22">
        <f t="shared" si="6"/>
        <v>27182</v>
      </c>
      <c r="X23" s="22">
        <f t="shared" si="6"/>
        <v>30240</v>
      </c>
      <c r="Y23" s="22">
        <f t="shared" si="6"/>
        <v>33471</v>
      </c>
      <c r="Z23" s="22">
        <f t="shared" si="6"/>
        <v>36873</v>
      </c>
      <c r="AA23" s="22">
        <f t="shared" si="6"/>
        <v>40444</v>
      </c>
      <c r="AB23" s="22">
        <f t="shared" si="6"/>
        <v>44182</v>
      </c>
      <c r="AC23" s="22">
        <f t="shared" si="6"/>
        <v>48084</v>
      </c>
      <c r="AD23" s="22">
        <f t="shared" si="6"/>
        <v>52145</v>
      </c>
      <c r="AE23" s="22">
        <f t="shared" si="6"/>
        <v>56362</v>
      </c>
      <c r="AF23" s="22">
        <f t="shared" si="6"/>
        <v>60730</v>
      </c>
      <c r="AG23" s="22">
        <f t="shared" si="6"/>
        <v>65243</v>
      </c>
      <c r="AH23" s="22">
        <f t="shared" si="6"/>
        <v>69897</v>
      </c>
      <c r="AI23" s="22">
        <f t="shared" si="6"/>
        <v>74686</v>
      </c>
      <c r="AJ23" s="22">
        <f t="shared" si="6"/>
        <v>79604</v>
      </c>
      <c r="AK23" s="22">
        <f t="shared" si="6"/>
        <v>84644</v>
      </c>
      <c r="AL23" s="22">
        <f t="shared" si="6"/>
        <v>89800</v>
      </c>
    </row>
    <row r="24" spans="1:38" x14ac:dyDescent="0.2">
      <c r="A24" s="6" t="s">
        <v>169</v>
      </c>
      <c r="B24" s="6" t="s">
        <v>152</v>
      </c>
      <c r="C24" s="22">
        <f t="shared" ref="C24:AL24" si="7">C13+C19</f>
        <v>91</v>
      </c>
      <c r="D24" s="22">
        <f t="shared" si="7"/>
        <v>194</v>
      </c>
      <c r="E24" s="22">
        <f t="shared" si="7"/>
        <v>306</v>
      </c>
      <c r="F24" s="22">
        <f t="shared" si="7"/>
        <v>431</v>
      </c>
      <c r="G24" s="22">
        <f t="shared" si="7"/>
        <v>565</v>
      </c>
      <c r="H24" s="22">
        <f t="shared" si="7"/>
        <v>710</v>
      </c>
      <c r="I24" s="22">
        <f t="shared" si="7"/>
        <v>866</v>
      </c>
      <c r="J24" s="22">
        <f t="shared" si="7"/>
        <v>1032</v>
      </c>
      <c r="K24" s="22">
        <f t="shared" si="7"/>
        <v>1209</v>
      </c>
      <c r="L24" s="22">
        <f t="shared" si="7"/>
        <v>1395</v>
      </c>
      <c r="M24" s="22">
        <f t="shared" si="7"/>
        <v>1591</v>
      </c>
      <c r="N24" s="22">
        <f t="shared" si="7"/>
        <v>1796</v>
      </c>
      <c r="O24" s="22">
        <f t="shared" si="7"/>
        <v>2011</v>
      </c>
      <c r="P24" s="22">
        <f t="shared" si="7"/>
        <v>2234</v>
      </c>
      <c r="Q24" s="22">
        <f t="shared" si="7"/>
        <v>2465</v>
      </c>
      <c r="R24" s="22">
        <f t="shared" si="7"/>
        <v>2704</v>
      </c>
      <c r="S24" s="22">
        <f t="shared" si="7"/>
        <v>2949</v>
      </c>
      <c r="T24" s="22">
        <f t="shared" si="7"/>
        <v>3202</v>
      </c>
      <c r="U24" s="22">
        <f t="shared" si="7"/>
        <v>3461</v>
      </c>
      <c r="V24" s="22">
        <f t="shared" si="7"/>
        <v>3724</v>
      </c>
      <c r="W24" s="22">
        <f t="shared" si="7"/>
        <v>3993</v>
      </c>
      <c r="X24" s="22">
        <f t="shared" si="7"/>
        <v>4266</v>
      </c>
      <c r="Y24" s="22">
        <f t="shared" si="7"/>
        <v>4542</v>
      </c>
      <c r="Z24" s="22">
        <f t="shared" si="7"/>
        <v>4822</v>
      </c>
      <c r="AA24" s="22">
        <f t="shared" si="7"/>
        <v>5104</v>
      </c>
      <c r="AB24" s="22">
        <f t="shared" si="7"/>
        <v>5389</v>
      </c>
      <c r="AC24" s="22">
        <f t="shared" si="7"/>
        <v>5674</v>
      </c>
      <c r="AD24" s="22">
        <f t="shared" si="7"/>
        <v>5960</v>
      </c>
      <c r="AE24" s="22">
        <f t="shared" si="7"/>
        <v>6246</v>
      </c>
      <c r="AF24" s="22">
        <f t="shared" si="7"/>
        <v>6531</v>
      </c>
      <c r="AG24" s="22">
        <f t="shared" si="7"/>
        <v>6816</v>
      </c>
      <c r="AH24" s="22">
        <f t="shared" si="7"/>
        <v>7099</v>
      </c>
      <c r="AI24" s="22">
        <f t="shared" si="7"/>
        <v>7380</v>
      </c>
      <c r="AJ24" s="22">
        <f t="shared" si="7"/>
        <v>7658</v>
      </c>
      <c r="AK24" s="22">
        <f t="shared" si="7"/>
        <v>7933</v>
      </c>
      <c r="AL24" s="22">
        <f t="shared" si="7"/>
        <v>8205</v>
      </c>
    </row>
    <row r="25" spans="1:38" x14ac:dyDescent="0.2">
      <c r="A25" s="6" t="s">
        <v>160</v>
      </c>
      <c r="B25" s="6" t="s">
        <v>152</v>
      </c>
      <c r="C25" s="21">
        <f>ROUND((C23+C24)*Assumptions!$B$24,0)</f>
        <v>3</v>
      </c>
      <c r="D25" s="21">
        <f>ROUND((D23+D24)*Assumptions!$B$24,0)</f>
        <v>8</v>
      </c>
      <c r="E25" s="21">
        <f>ROUND((E23+E24)*Assumptions!$B$24,0)</f>
        <v>17</v>
      </c>
      <c r="F25" s="21">
        <f>ROUND((F23+F24)*Assumptions!$B$24,0)</f>
        <v>30</v>
      </c>
      <c r="G25" s="21">
        <f>ROUND((G23+G24)*Assumptions!$B$24,0)</f>
        <v>46</v>
      </c>
      <c r="H25" s="21">
        <f>ROUND((H23+H24)*Assumptions!$B$24,0)</f>
        <v>66</v>
      </c>
      <c r="I25" s="21">
        <f>ROUND((I23+I24)*Assumptions!$B$24,0)</f>
        <v>90</v>
      </c>
      <c r="J25" s="21">
        <f>ROUND((J23+J24)*Assumptions!$B$24,0)</f>
        <v>118</v>
      </c>
      <c r="K25" s="21">
        <f>ROUND((K23+K24)*Assumptions!$B$24,0)</f>
        <v>151</v>
      </c>
      <c r="L25" s="21">
        <f>ROUND((L23+L24)*Assumptions!$B$24,0)</f>
        <v>188</v>
      </c>
      <c r="M25" s="21">
        <f>ROUND((M23+M24)*Assumptions!$B$24,0)</f>
        <v>230</v>
      </c>
      <c r="N25" s="21">
        <f>ROUND((N23+N24)*Assumptions!$B$24,0)</f>
        <v>277</v>
      </c>
      <c r="O25" s="21">
        <f>ROUND((O23+O24)*Assumptions!$B$24,0)</f>
        <v>329</v>
      </c>
      <c r="P25" s="21">
        <f>ROUND((P23+P24)*Assumptions!$B$24,0)</f>
        <v>386</v>
      </c>
      <c r="Q25" s="21">
        <f>ROUND((Q23+Q24)*Assumptions!$B$24,0)</f>
        <v>449</v>
      </c>
      <c r="R25" s="21">
        <f>ROUND((R23+R24)*Assumptions!$B$24,0)</f>
        <v>516</v>
      </c>
      <c r="S25" s="21">
        <f>ROUND((S23+S24)*Assumptions!$B$24,0)</f>
        <v>589</v>
      </c>
      <c r="T25" s="21">
        <f>ROUND((T23+T24)*Assumptions!$B$24,0)</f>
        <v>668</v>
      </c>
      <c r="U25" s="21">
        <f>ROUND((U23+U24)*Assumptions!$B$24,0)</f>
        <v>752</v>
      </c>
      <c r="V25" s="21">
        <f>ROUND((V23+V24)*Assumptions!$B$24,0)</f>
        <v>841</v>
      </c>
      <c r="W25" s="21">
        <f>ROUND((W23+W24)*Assumptions!$B$24,0)</f>
        <v>935</v>
      </c>
      <c r="X25" s="21">
        <f>ROUND((X23+X24)*Assumptions!$B$24,0)</f>
        <v>1035</v>
      </c>
      <c r="Y25" s="21">
        <f>ROUND((Y23+Y24)*Assumptions!$B$24,0)</f>
        <v>1140</v>
      </c>
      <c r="Z25" s="21">
        <f>ROUND((Z23+Z24)*Assumptions!$B$24,0)</f>
        <v>1251</v>
      </c>
      <c r="AA25" s="21">
        <f>ROUND((AA23+AA24)*Assumptions!$B$24,0)</f>
        <v>1366</v>
      </c>
      <c r="AB25" s="21">
        <f>ROUND((AB23+AB24)*Assumptions!$B$24,0)</f>
        <v>1487</v>
      </c>
      <c r="AC25" s="21">
        <f>ROUND((AC23+AC24)*Assumptions!$B$24,0)</f>
        <v>1613</v>
      </c>
      <c r="AD25" s="21">
        <f>ROUND((AD23+AD24)*Assumptions!$B$24,0)</f>
        <v>1743</v>
      </c>
      <c r="AE25" s="21">
        <f>ROUND((AE23+AE24)*Assumptions!$B$24,0)</f>
        <v>1878</v>
      </c>
      <c r="AF25" s="21">
        <f>ROUND((AF23+AF24)*Assumptions!$B$24,0)</f>
        <v>2018</v>
      </c>
      <c r="AG25" s="21">
        <f>ROUND((AG23+AG24)*Assumptions!$B$24,0)</f>
        <v>2162</v>
      </c>
      <c r="AH25" s="21">
        <f>ROUND((AH23+AH24)*Assumptions!$B$24,0)</f>
        <v>2310</v>
      </c>
      <c r="AI25" s="21">
        <f>ROUND((AI23+AI24)*Assumptions!$B$24,0)</f>
        <v>2462</v>
      </c>
      <c r="AJ25" s="21">
        <f>ROUND((AJ23+AJ24)*Assumptions!$B$24,0)</f>
        <v>2618</v>
      </c>
      <c r="AK25" s="21">
        <f>ROUND((AK23+AK24)*Assumptions!$B$24,0)</f>
        <v>2777</v>
      </c>
      <c r="AL25" s="21">
        <f>ROUND((AL23+AL24)*Assumptions!$B$24,0)</f>
        <v>2940</v>
      </c>
    </row>
    <row r="26" spans="1:38" x14ac:dyDescent="0.2">
      <c r="A26" s="17" t="s">
        <v>170</v>
      </c>
      <c r="B26" s="17" t="s">
        <v>152</v>
      </c>
      <c r="C26" s="18">
        <f t="shared" ref="C26:AL26" si="8">C23+C24-C25</f>
        <v>88</v>
      </c>
      <c r="D26" s="18">
        <f t="shared" si="8"/>
        <v>274</v>
      </c>
      <c r="E26" s="18">
        <f t="shared" si="8"/>
        <v>563</v>
      </c>
      <c r="F26" s="18">
        <f t="shared" si="8"/>
        <v>964</v>
      </c>
      <c r="G26" s="18">
        <f t="shared" si="8"/>
        <v>1483</v>
      </c>
      <c r="H26" s="18">
        <f t="shared" si="8"/>
        <v>2127</v>
      </c>
      <c r="I26" s="18">
        <f t="shared" si="8"/>
        <v>2903</v>
      </c>
      <c r="J26" s="18">
        <f t="shared" si="8"/>
        <v>3817</v>
      </c>
      <c r="K26" s="18">
        <f t="shared" si="8"/>
        <v>4875</v>
      </c>
      <c r="L26" s="18">
        <f t="shared" si="8"/>
        <v>6082</v>
      </c>
      <c r="M26" s="18">
        <f t="shared" si="8"/>
        <v>7443</v>
      </c>
      <c r="N26" s="18">
        <f t="shared" si="8"/>
        <v>8962</v>
      </c>
      <c r="O26" s="18">
        <f t="shared" si="8"/>
        <v>10644</v>
      </c>
      <c r="P26" s="18">
        <f t="shared" si="8"/>
        <v>12492</v>
      </c>
      <c r="Q26" s="18">
        <f t="shared" si="8"/>
        <v>14508</v>
      </c>
      <c r="R26" s="18">
        <f t="shared" si="8"/>
        <v>16696</v>
      </c>
      <c r="S26" s="18">
        <f t="shared" si="8"/>
        <v>19056</v>
      </c>
      <c r="T26" s="18">
        <f t="shared" si="8"/>
        <v>21590</v>
      </c>
      <c r="U26" s="18">
        <f t="shared" si="8"/>
        <v>24299</v>
      </c>
      <c r="V26" s="18">
        <f t="shared" si="8"/>
        <v>27182</v>
      </c>
      <c r="W26" s="18">
        <f t="shared" si="8"/>
        <v>30240</v>
      </c>
      <c r="X26" s="18">
        <f t="shared" si="8"/>
        <v>33471</v>
      </c>
      <c r="Y26" s="18">
        <f t="shared" si="8"/>
        <v>36873</v>
      </c>
      <c r="Z26" s="18">
        <f t="shared" si="8"/>
        <v>40444</v>
      </c>
      <c r="AA26" s="18">
        <f t="shared" si="8"/>
        <v>44182</v>
      </c>
      <c r="AB26" s="18">
        <f t="shared" si="8"/>
        <v>48084</v>
      </c>
      <c r="AC26" s="18">
        <f t="shared" si="8"/>
        <v>52145</v>
      </c>
      <c r="AD26" s="18">
        <f t="shared" si="8"/>
        <v>56362</v>
      </c>
      <c r="AE26" s="18">
        <f t="shared" si="8"/>
        <v>60730</v>
      </c>
      <c r="AF26" s="18">
        <f t="shared" si="8"/>
        <v>65243</v>
      </c>
      <c r="AG26" s="18">
        <f t="shared" si="8"/>
        <v>69897</v>
      </c>
      <c r="AH26" s="18">
        <f t="shared" si="8"/>
        <v>74686</v>
      </c>
      <c r="AI26" s="18">
        <f t="shared" si="8"/>
        <v>79604</v>
      </c>
      <c r="AJ26" s="18">
        <f t="shared" si="8"/>
        <v>84644</v>
      </c>
      <c r="AK26" s="18">
        <f t="shared" si="8"/>
        <v>89800</v>
      </c>
      <c r="AL26" s="18">
        <f t="shared" si="8"/>
        <v>95065</v>
      </c>
    </row>
    <row r="27" spans="1:38" x14ac:dyDescent="0.2">
      <c r="A27" s="3" t="s">
        <v>171</v>
      </c>
      <c r="B27" s="4"/>
      <c r="C27" s="4"/>
      <c r="D27" s="4"/>
      <c r="E27" s="4"/>
    </row>
    <row r="28" spans="1:38" x14ac:dyDescent="0.2">
      <c r="A28" s="17" t="s">
        <v>172</v>
      </c>
      <c r="B28" s="17" t="s">
        <v>152</v>
      </c>
      <c r="C28" s="18">
        <f t="shared" ref="C28:AL28" si="9">C15+C21+C26</f>
        <v>9639</v>
      </c>
      <c r="D28" s="18">
        <f t="shared" si="9"/>
        <v>20109</v>
      </c>
      <c r="E28" s="18">
        <f t="shared" si="9"/>
        <v>31431</v>
      </c>
      <c r="F28" s="18">
        <f t="shared" si="9"/>
        <v>43617</v>
      </c>
      <c r="G28" s="18">
        <f t="shared" si="9"/>
        <v>56678</v>
      </c>
      <c r="H28" s="18">
        <f t="shared" si="9"/>
        <v>70619</v>
      </c>
      <c r="I28" s="18">
        <f t="shared" si="9"/>
        <v>85440</v>
      </c>
      <c r="J28" s="18">
        <f t="shared" si="9"/>
        <v>101135</v>
      </c>
      <c r="K28" s="18">
        <f t="shared" si="9"/>
        <v>117695</v>
      </c>
      <c r="L28" s="18">
        <f t="shared" si="9"/>
        <v>135103</v>
      </c>
      <c r="M28" s="18">
        <f t="shared" si="9"/>
        <v>153341</v>
      </c>
      <c r="N28" s="18">
        <f t="shared" si="9"/>
        <v>172386</v>
      </c>
      <c r="O28" s="18">
        <f t="shared" si="9"/>
        <v>192209</v>
      </c>
      <c r="P28" s="18">
        <f t="shared" si="9"/>
        <v>212778</v>
      </c>
      <c r="Q28" s="18">
        <f t="shared" si="9"/>
        <v>234058</v>
      </c>
      <c r="R28" s="18">
        <f t="shared" si="9"/>
        <v>256013</v>
      </c>
      <c r="S28" s="18">
        <f t="shared" si="9"/>
        <v>278599</v>
      </c>
      <c r="T28" s="18">
        <f t="shared" si="9"/>
        <v>301772</v>
      </c>
      <c r="U28" s="18">
        <f t="shared" si="9"/>
        <v>325487</v>
      </c>
      <c r="V28" s="18">
        <f t="shared" si="9"/>
        <v>349697</v>
      </c>
      <c r="W28" s="18">
        <f t="shared" si="9"/>
        <v>374352</v>
      </c>
      <c r="X28" s="18">
        <f t="shared" si="9"/>
        <v>399402</v>
      </c>
      <c r="Y28" s="18">
        <f t="shared" si="9"/>
        <v>424797</v>
      </c>
      <c r="Z28" s="18">
        <f t="shared" si="9"/>
        <v>450483</v>
      </c>
      <c r="AA28" s="18">
        <f t="shared" si="9"/>
        <v>476412</v>
      </c>
      <c r="AB28" s="18">
        <f t="shared" si="9"/>
        <v>502530</v>
      </c>
      <c r="AC28" s="18">
        <f t="shared" si="9"/>
        <v>528789</v>
      </c>
      <c r="AD28" s="18">
        <f t="shared" si="9"/>
        <v>555137</v>
      </c>
      <c r="AE28" s="18">
        <f t="shared" si="9"/>
        <v>581527</v>
      </c>
      <c r="AF28" s="18">
        <f t="shared" si="9"/>
        <v>607909</v>
      </c>
      <c r="AG28" s="18">
        <f t="shared" si="9"/>
        <v>634239</v>
      </c>
      <c r="AH28" s="18">
        <f t="shared" si="9"/>
        <v>660471</v>
      </c>
      <c r="AI28" s="18">
        <f t="shared" si="9"/>
        <v>686563</v>
      </c>
      <c r="AJ28" s="18">
        <f t="shared" si="9"/>
        <v>712474</v>
      </c>
      <c r="AK28" s="18">
        <f t="shared" si="9"/>
        <v>738165</v>
      </c>
      <c r="AL28" s="18">
        <f t="shared" si="9"/>
        <v>763599</v>
      </c>
    </row>
    <row r="29" spans="1:38" x14ac:dyDescent="0.2">
      <c r="A29" s="17" t="s">
        <v>173</v>
      </c>
      <c r="B29" s="17" t="s">
        <v>152</v>
      </c>
      <c r="C29" s="18">
        <f t="shared" ref="C29:AL29" si="10">C21+C26</f>
        <v>431</v>
      </c>
      <c r="D29" s="18">
        <f t="shared" si="10"/>
        <v>1291</v>
      </c>
      <c r="E29" s="18">
        <f t="shared" si="10"/>
        <v>2580</v>
      </c>
      <c r="F29" s="18">
        <f t="shared" si="10"/>
        <v>4299</v>
      </c>
      <c r="G29" s="18">
        <f t="shared" si="10"/>
        <v>6449</v>
      </c>
      <c r="H29" s="18">
        <f t="shared" si="10"/>
        <v>9032</v>
      </c>
      <c r="I29" s="18">
        <f t="shared" si="10"/>
        <v>12048</v>
      </c>
      <c r="J29" s="18">
        <f t="shared" si="10"/>
        <v>15501</v>
      </c>
      <c r="K29" s="18">
        <f t="shared" si="10"/>
        <v>19390</v>
      </c>
      <c r="L29" s="18">
        <f t="shared" si="10"/>
        <v>23715</v>
      </c>
      <c r="M29" s="18">
        <f t="shared" si="10"/>
        <v>28476</v>
      </c>
      <c r="N29" s="18">
        <f t="shared" si="10"/>
        <v>33672</v>
      </c>
      <c r="O29" s="18">
        <f t="shared" si="10"/>
        <v>39299</v>
      </c>
      <c r="P29" s="18">
        <f t="shared" si="10"/>
        <v>45355</v>
      </c>
      <c r="Q29" s="18">
        <f t="shared" si="10"/>
        <v>51833</v>
      </c>
      <c r="R29" s="18">
        <f t="shared" si="10"/>
        <v>58730</v>
      </c>
      <c r="S29" s="18">
        <f t="shared" si="10"/>
        <v>66037</v>
      </c>
      <c r="T29" s="18">
        <f t="shared" si="10"/>
        <v>73745</v>
      </c>
      <c r="U29" s="18">
        <f t="shared" si="10"/>
        <v>81845</v>
      </c>
      <c r="V29" s="18">
        <f t="shared" si="10"/>
        <v>90326</v>
      </c>
      <c r="W29" s="18">
        <f t="shared" si="10"/>
        <v>99177</v>
      </c>
      <c r="X29" s="18">
        <f t="shared" si="10"/>
        <v>108383</v>
      </c>
      <c r="Y29" s="18">
        <f t="shared" si="10"/>
        <v>117931</v>
      </c>
      <c r="Z29" s="18">
        <f t="shared" si="10"/>
        <v>127804</v>
      </c>
      <c r="AA29" s="18">
        <f t="shared" si="10"/>
        <v>137988</v>
      </c>
      <c r="AB29" s="18">
        <f t="shared" si="10"/>
        <v>148464</v>
      </c>
      <c r="AC29" s="18">
        <f t="shared" si="10"/>
        <v>159215</v>
      </c>
      <c r="AD29" s="18">
        <f t="shared" si="10"/>
        <v>170222</v>
      </c>
      <c r="AE29" s="18">
        <f t="shared" si="10"/>
        <v>181468</v>
      </c>
      <c r="AF29" s="18">
        <f t="shared" si="10"/>
        <v>192931</v>
      </c>
      <c r="AG29" s="18">
        <f t="shared" si="10"/>
        <v>204593</v>
      </c>
      <c r="AH29" s="18">
        <f t="shared" si="10"/>
        <v>216434</v>
      </c>
      <c r="AI29" s="18">
        <f t="shared" si="10"/>
        <v>228432</v>
      </c>
      <c r="AJ29" s="18">
        <f t="shared" si="10"/>
        <v>240569</v>
      </c>
      <c r="AK29" s="18">
        <f t="shared" si="10"/>
        <v>252823</v>
      </c>
      <c r="AL29" s="18">
        <f t="shared" si="10"/>
        <v>265175</v>
      </c>
    </row>
    <row r="30" spans="1:38" x14ac:dyDescent="0.2">
      <c r="A30" s="17" t="s">
        <v>174</v>
      </c>
      <c r="B30" s="17" t="s">
        <v>175</v>
      </c>
      <c r="C30" s="23">
        <f t="shared" ref="C30:AL30" si="11">IF(C28=0,0,C29/C28)</f>
        <v>4.471418196908393E-2</v>
      </c>
      <c r="D30" s="23">
        <f t="shared" si="11"/>
        <v>6.4200109403749567E-2</v>
      </c>
      <c r="E30" s="23">
        <f t="shared" si="11"/>
        <v>8.2084566192612396E-2</v>
      </c>
      <c r="F30" s="23">
        <f t="shared" si="11"/>
        <v>9.8562487103652244E-2</v>
      </c>
      <c r="G30" s="23">
        <f t="shared" si="11"/>
        <v>0.11378312572779561</v>
      </c>
      <c r="H30" s="23">
        <f t="shared" si="11"/>
        <v>0.12789759129979184</v>
      </c>
      <c r="I30" s="23">
        <f t="shared" si="11"/>
        <v>0.14101123595505619</v>
      </c>
      <c r="J30" s="23">
        <f t="shared" si="11"/>
        <v>0.15327038117367875</v>
      </c>
      <c r="K30" s="23">
        <f t="shared" si="11"/>
        <v>0.16474786524491269</v>
      </c>
      <c r="L30" s="23">
        <f t="shared" si="11"/>
        <v>0.17553274168597294</v>
      </c>
      <c r="M30" s="23">
        <f t="shared" si="11"/>
        <v>0.18570375829034635</v>
      </c>
      <c r="N30" s="23">
        <f t="shared" si="11"/>
        <v>0.19532908704883228</v>
      </c>
      <c r="O30" s="23">
        <f t="shared" si="11"/>
        <v>0.20445972873278567</v>
      </c>
      <c r="P30" s="23">
        <f t="shared" si="11"/>
        <v>0.21315643534575943</v>
      </c>
      <c r="Q30" s="23">
        <f t="shared" si="11"/>
        <v>0.22145365678592485</v>
      </c>
      <c r="R30" s="23">
        <f t="shared" si="11"/>
        <v>0.2294024131587068</v>
      </c>
      <c r="S30" s="23">
        <f t="shared" si="11"/>
        <v>0.23703243730235932</v>
      </c>
      <c r="T30" s="23">
        <f t="shared" si="11"/>
        <v>0.24437323542276951</v>
      </c>
      <c r="U30" s="23">
        <f t="shared" si="11"/>
        <v>0.25145397512035811</v>
      </c>
      <c r="V30" s="23">
        <f t="shared" si="11"/>
        <v>0.25829789789446295</v>
      </c>
      <c r="W30" s="23">
        <f t="shared" si="11"/>
        <v>0.26492979869214001</v>
      </c>
      <c r="X30" s="23">
        <f t="shared" si="11"/>
        <v>0.27136318796600917</v>
      </c>
      <c r="Y30" s="23">
        <f t="shared" si="11"/>
        <v>0.2776173089734626</v>
      </c>
      <c r="Z30" s="23">
        <f t="shared" si="11"/>
        <v>0.28370437952153577</v>
      </c>
      <c r="AA30" s="23">
        <f t="shared" si="11"/>
        <v>0.28964005944434651</v>
      </c>
      <c r="AB30" s="23">
        <f t="shared" si="11"/>
        <v>0.29543310847113607</v>
      </c>
      <c r="AC30" s="23">
        <f t="shared" si="11"/>
        <v>0.30109363091894875</v>
      </c>
      <c r="AD30" s="23">
        <f t="shared" si="11"/>
        <v>0.30663061550572202</v>
      </c>
      <c r="AE30" s="23">
        <f t="shared" si="11"/>
        <v>0.3120542984246647</v>
      </c>
      <c r="AF30" s="23">
        <f t="shared" si="11"/>
        <v>0.31736822452044633</v>
      </c>
      <c r="AG30" s="23">
        <f t="shared" si="11"/>
        <v>0.32258028913390696</v>
      </c>
      <c r="AH30" s="23">
        <f t="shared" si="11"/>
        <v>0.3276964469295397</v>
      </c>
      <c r="AI30" s="23">
        <f t="shared" si="11"/>
        <v>0.3327181919212075</v>
      </c>
      <c r="AJ30" s="23">
        <f t="shared" si="11"/>
        <v>0.3376530231278615</v>
      </c>
      <c r="AK30" s="23">
        <f t="shared" si="11"/>
        <v>0.34250201513211814</v>
      </c>
      <c r="AL30" s="23">
        <f t="shared" si="11"/>
        <v>0.34726996761389156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B5CF6"/>
  </sheetPr>
  <dimension ref="A1:AL19"/>
  <sheetViews>
    <sheetView workbookViewId="0">
      <pane xSplit="2" ySplit="4" topLeftCell="C5" activePane="bottomRight" state="frozen"/>
      <selection pane="topRight"/>
      <selection pane="bottomLeft"/>
      <selection pane="bottomRight" activeCell="D22" sqref="D22"/>
    </sheetView>
  </sheetViews>
  <sheetFormatPr baseColWidth="10" defaultColWidth="8.83203125" defaultRowHeight="15" x14ac:dyDescent="0.2"/>
  <cols>
    <col min="1" max="1" width="30" customWidth="1"/>
    <col min="2" max="2" width="8" customWidth="1"/>
    <col min="3" max="38" width="14" customWidth="1"/>
  </cols>
  <sheetData>
    <row r="1" spans="1:38" ht="18" x14ac:dyDescent="0.2">
      <c r="A1" s="1" t="s">
        <v>176</v>
      </c>
    </row>
    <row r="2" spans="1:38" x14ac:dyDescent="0.2">
      <c r="A2" s="2" t="s">
        <v>177</v>
      </c>
    </row>
    <row r="4" spans="1:38" x14ac:dyDescent="0.2">
      <c r="A4" s="19" t="s">
        <v>112</v>
      </c>
      <c r="B4" s="19" t="s">
        <v>113</v>
      </c>
      <c r="C4" s="20" t="s">
        <v>114</v>
      </c>
      <c r="D4" s="20" t="s">
        <v>115</v>
      </c>
      <c r="E4" s="20" t="s">
        <v>116</v>
      </c>
      <c r="F4" s="20" t="s">
        <v>117</v>
      </c>
      <c r="G4" s="20" t="s">
        <v>118</v>
      </c>
      <c r="H4" s="20" t="s">
        <v>119</v>
      </c>
      <c r="I4" s="20" t="s">
        <v>120</v>
      </c>
      <c r="J4" s="20" t="s">
        <v>121</v>
      </c>
      <c r="K4" s="20" t="s">
        <v>122</v>
      </c>
      <c r="L4" s="20" t="s">
        <v>123</v>
      </c>
      <c r="M4" s="20" t="s">
        <v>124</v>
      </c>
      <c r="N4" s="20" t="s">
        <v>125</v>
      </c>
      <c r="O4" s="20" t="s">
        <v>126</v>
      </c>
      <c r="P4" s="20" t="s">
        <v>127</v>
      </c>
      <c r="Q4" s="20" t="s">
        <v>128</v>
      </c>
      <c r="R4" s="20" t="s">
        <v>129</v>
      </c>
      <c r="S4" s="20" t="s">
        <v>130</v>
      </c>
      <c r="T4" s="20" t="s">
        <v>131</v>
      </c>
      <c r="U4" s="20" t="s">
        <v>132</v>
      </c>
      <c r="V4" s="20" t="s">
        <v>133</v>
      </c>
      <c r="W4" s="20" t="s">
        <v>134</v>
      </c>
      <c r="X4" s="20" t="s">
        <v>135</v>
      </c>
      <c r="Y4" s="20" t="s">
        <v>136</v>
      </c>
      <c r="Z4" s="20" t="s">
        <v>137</v>
      </c>
      <c r="AA4" s="20" t="s">
        <v>138</v>
      </c>
      <c r="AB4" s="20" t="s">
        <v>139</v>
      </c>
      <c r="AC4" s="20" t="s">
        <v>140</v>
      </c>
      <c r="AD4" s="20" t="s">
        <v>141</v>
      </c>
      <c r="AE4" s="20" t="s">
        <v>142</v>
      </c>
      <c r="AF4" s="20" t="s">
        <v>143</v>
      </c>
      <c r="AG4" s="20" t="s">
        <v>144</v>
      </c>
      <c r="AH4" s="20" t="s">
        <v>145</v>
      </c>
      <c r="AI4" s="20" t="s">
        <v>146</v>
      </c>
      <c r="AJ4" s="20" t="s">
        <v>147</v>
      </c>
      <c r="AK4" s="20" t="s">
        <v>148</v>
      </c>
      <c r="AL4" s="20" t="s">
        <v>149</v>
      </c>
    </row>
    <row r="5" spans="1:38" x14ac:dyDescent="0.2">
      <c r="A5" s="3" t="s">
        <v>178</v>
      </c>
      <c r="B5" s="4"/>
      <c r="C5" s="4"/>
      <c r="D5" s="4"/>
      <c r="E5" s="4"/>
    </row>
    <row r="6" spans="1:38" x14ac:dyDescent="0.2">
      <c r="A6" s="6" t="s">
        <v>179</v>
      </c>
      <c r="B6" s="6" t="s">
        <v>180</v>
      </c>
      <c r="C6" s="24">
        <f>'User Growth'!C21*Assumptions!$B$29</f>
        <v>2548.7300999999998</v>
      </c>
      <c r="D6" s="24">
        <f>'User Growth'!D21*Assumptions!$B$29</f>
        <v>7557.0218999999997</v>
      </c>
      <c r="E6" s="24">
        <f>'User Growth'!E21*Assumptions!$B$29</f>
        <v>14987.7219</v>
      </c>
      <c r="F6" s="24">
        <f>'User Growth'!F21*Assumptions!$B$29</f>
        <v>24781.3845</v>
      </c>
      <c r="G6" s="24">
        <f>'User Growth'!G21*Assumptions!$B$29</f>
        <v>36900.856200000002</v>
      </c>
      <c r="H6" s="24">
        <f>'User Growth'!H21*Assumptions!$B$29</f>
        <v>51308.983500000002</v>
      </c>
      <c r="I6" s="24">
        <f>'User Growth'!I21*Assumptions!$B$29</f>
        <v>67953.751499999998</v>
      </c>
      <c r="J6" s="24">
        <f>'User Growth'!J21*Assumptions!$B$29</f>
        <v>86820.298800000004</v>
      </c>
      <c r="K6" s="24">
        <f>'User Growth'!K21*Assumptions!$B$29</f>
        <v>107856.6105</v>
      </c>
      <c r="L6" s="24">
        <f>'User Growth'!L21*Assumptions!$B$29</f>
        <v>131025.5331</v>
      </c>
      <c r="M6" s="24">
        <f>'User Growth'!M21*Assumptions!$B$29</f>
        <v>156289.91310000001</v>
      </c>
      <c r="N6" s="24">
        <f>'User Growth'!N21*Assumptions!$B$29</f>
        <v>183612.59700000001</v>
      </c>
      <c r="O6" s="24">
        <f>'User Growth'!O21*Assumptions!$B$29</f>
        <v>212926.70850000001</v>
      </c>
      <c r="P6" s="24">
        <f>'User Growth'!P21*Assumptions!$B$29</f>
        <v>244195.09409999999</v>
      </c>
      <c r="Q6" s="24">
        <f>'User Growth'!Q21*Assumptions!$B$29</f>
        <v>277350.8775</v>
      </c>
      <c r="R6" s="24">
        <f>'User Growth'!R21*Assumptions!$B$29</f>
        <v>312342.04379999998</v>
      </c>
      <c r="S6" s="24">
        <f>'User Growth'!S21*Assumptions!$B$29</f>
        <v>349101.71669999999</v>
      </c>
      <c r="T6" s="24">
        <f>'User Growth'!T21*Assumptions!$B$29</f>
        <v>387548.15850000002</v>
      </c>
      <c r="U6" s="24">
        <f>'User Growth'!U21*Assumptions!$B$29</f>
        <v>427607.06219999999</v>
      </c>
      <c r="V6" s="24">
        <f>'User Growth'!V21*Assumptions!$B$29</f>
        <v>469204.12079999998</v>
      </c>
      <c r="W6" s="24">
        <f>'User Growth'!W21*Assumptions!$B$29</f>
        <v>512250.16589999996</v>
      </c>
      <c r="X6" s="24">
        <f>'User Growth'!X21*Assumptions!$B$29</f>
        <v>556648.59840000002</v>
      </c>
      <c r="Y6" s="24">
        <f>'User Growth'!Y21*Assumptions!$B$29</f>
        <v>602317.68059999996</v>
      </c>
      <c r="Z6" s="24">
        <f>'User Growth'!Z21*Assumptions!$B$29</f>
        <v>649145.95199999993</v>
      </c>
      <c r="AA6" s="24">
        <f>'User Growth'!AA21*Assumptions!$B$29</f>
        <v>697044.24419999996</v>
      </c>
      <c r="AB6" s="24">
        <f>'User Growth'!AB21*Assumptions!$B$29</f>
        <v>745893.66599999997</v>
      </c>
      <c r="AC6" s="24">
        <f>'User Growth'!AC21*Assumptions!$B$29</f>
        <v>795605.049</v>
      </c>
      <c r="AD6" s="24">
        <f>'User Growth'!AD21*Assumptions!$B$29</f>
        <v>846059.50199999998</v>
      </c>
      <c r="AE6" s="24">
        <f>'User Growth'!AE21*Assumptions!$B$29</f>
        <v>897167.85659999994</v>
      </c>
      <c r="AF6" s="24">
        <f>'User Growth'!AF21*Assumptions!$B$29</f>
        <v>948811.22159999993</v>
      </c>
      <c r="AG6" s="24">
        <f>'User Growth'!AG21*Assumptions!$B$29</f>
        <v>1000885.5671999999</v>
      </c>
      <c r="AH6" s="24">
        <f>'User Growth'!AH21*Assumptions!$B$29</f>
        <v>1053286.8636</v>
      </c>
      <c r="AI6" s="24">
        <f>'User Growth'!AI21*Assumptions!$B$29</f>
        <v>1105896.2196</v>
      </c>
      <c r="AJ6" s="24">
        <f>'User Growth'!AJ21*Assumptions!$B$29</f>
        <v>1158631.8975</v>
      </c>
      <c r="AK6" s="24">
        <f>'User Growth'!AK21*Assumptions!$B$29</f>
        <v>1211375.0060999999</v>
      </c>
      <c r="AL6" s="24">
        <f>'User Growth'!AL21*Assumptions!$B$29</f>
        <v>1264036.3769999999</v>
      </c>
    </row>
    <row r="7" spans="1:38" x14ac:dyDescent="0.2">
      <c r="A7" s="6" t="s">
        <v>181</v>
      </c>
      <c r="B7" s="6" t="s">
        <v>180</v>
      </c>
      <c r="C7" s="24">
        <f>'User Growth'!C26*Assumptions!$B$30</f>
        <v>1635.9815999999998</v>
      </c>
      <c r="D7" s="24">
        <f>'User Growth'!D26*Assumptions!$B$30</f>
        <v>5093.8517999999995</v>
      </c>
      <c r="E7" s="24">
        <f>'User Growth'!E26*Assumptions!$B$30</f>
        <v>10466.5641</v>
      </c>
      <c r="F7" s="24">
        <f>'User Growth'!F26*Assumptions!$B$30</f>
        <v>17921.434799999999</v>
      </c>
      <c r="G7" s="24">
        <f>'User Growth'!G26*Assumptions!$B$30</f>
        <v>27570.008099999999</v>
      </c>
      <c r="H7" s="24">
        <f>'User Growth'!H26*Assumptions!$B$30</f>
        <v>39542.418899999997</v>
      </c>
      <c r="I7" s="24">
        <f>'User Growth'!I26*Assumptions!$B$30</f>
        <v>53968.802099999994</v>
      </c>
      <c r="J7" s="24">
        <f>'User Growth'!J26*Assumptions!$B$30</f>
        <v>70960.7019</v>
      </c>
      <c r="K7" s="24">
        <f>'User Growth'!K26*Assumptions!$B$30</f>
        <v>90629.662499999991</v>
      </c>
      <c r="L7" s="24">
        <f>'User Growth'!L26*Assumptions!$B$30</f>
        <v>113068.63739999999</v>
      </c>
      <c r="M7" s="24">
        <f>'User Growth'!M26*Assumptions!$B$30</f>
        <v>138370.58009999999</v>
      </c>
      <c r="N7" s="24">
        <f>'User Growth'!N26*Assumptions!$B$30</f>
        <v>166609.85339999999</v>
      </c>
      <c r="O7" s="24">
        <f>'User Growth'!O26*Assumptions!$B$30</f>
        <v>197879.41079999998</v>
      </c>
      <c r="P7" s="24">
        <f>'User Growth'!P26*Assumptions!$B$30</f>
        <v>232235.02439999997</v>
      </c>
      <c r="Q7" s="24">
        <f>'User Growth'!Q26*Assumptions!$B$30</f>
        <v>269713.87559999997</v>
      </c>
      <c r="R7" s="24">
        <f>'User Growth'!R26*Assumptions!$B$30</f>
        <v>310390.32719999994</v>
      </c>
      <c r="S7" s="24">
        <f>'User Growth'!S26*Assumptions!$B$30</f>
        <v>354264.37919999997</v>
      </c>
      <c r="T7" s="24">
        <f>'User Growth'!T26*Assumptions!$B$30</f>
        <v>401373.21299999999</v>
      </c>
      <c r="U7" s="24">
        <f>'User Growth'!U26*Assumptions!$B$30</f>
        <v>451735.41929999995</v>
      </c>
      <c r="V7" s="24">
        <f>'User Growth'!V26*Assumptions!$B$30</f>
        <v>505332.40739999997</v>
      </c>
      <c r="W7" s="24">
        <f>'User Growth'!W26*Assumptions!$B$30</f>
        <v>562182.76799999992</v>
      </c>
      <c r="X7" s="24">
        <f>'User Growth'!X26*Assumptions!$B$30</f>
        <v>622249.31969999999</v>
      </c>
      <c r="Y7" s="24">
        <f>'User Growth'!Y26*Assumptions!$B$30</f>
        <v>685494.88109999988</v>
      </c>
      <c r="Z7" s="24">
        <f>'User Growth'!Z26*Assumptions!$B$30</f>
        <v>751882.27079999994</v>
      </c>
      <c r="AA7" s="24">
        <f>'User Growth'!AA26*Assumptions!$B$30</f>
        <v>821374.30739999993</v>
      </c>
      <c r="AB7" s="24">
        <f>'User Growth'!AB26*Assumptions!$B$30</f>
        <v>893915.21879999992</v>
      </c>
      <c r="AC7" s="24">
        <f>'User Growth'!AC26*Assumptions!$B$30</f>
        <v>969412.05149999994</v>
      </c>
      <c r="AD7" s="24">
        <f>'User Growth'!AD26*Assumptions!$B$30</f>
        <v>1047809.0334</v>
      </c>
      <c r="AE7" s="24">
        <f>'User Growth'!AE26*Assumptions!$B$30</f>
        <v>1129013.2109999999</v>
      </c>
      <c r="AF7" s="24">
        <f>'User Growth'!AF26*Assumptions!$B$30</f>
        <v>1212913.0400999999</v>
      </c>
      <c r="AG7" s="24">
        <f>'User Growth'!AG26*Assumptions!$B$30</f>
        <v>1299434.1579</v>
      </c>
      <c r="AH7" s="24">
        <f>'User Growth'!AH26*Assumptions!$B$30</f>
        <v>1388465.0201999999</v>
      </c>
      <c r="AI7" s="24">
        <f>'User Growth'!AI26*Assumptions!$B$30</f>
        <v>1479894.0828</v>
      </c>
      <c r="AJ7" s="24">
        <f>'User Growth'!AJ26*Assumptions!$B$30</f>
        <v>1573591.2107999998</v>
      </c>
      <c r="AK7" s="24">
        <f>'User Growth'!AK26*Assumptions!$B$30</f>
        <v>1669444.8599999999</v>
      </c>
      <c r="AL7" s="24">
        <f>'User Growth'!AL26*Assumptions!$B$30</f>
        <v>1767324.8954999999</v>
      </c>
    </row>
    <row r="8" spans="1:38" x14ac:dyDescent="0.2">
      <c r="A8" s="17" t="s">
        <v>182</v>
      </c>
      <c r="B8" s="17" t="s">
        <v>180</v>
      </c>
      <c r="C8" s="25">
        <f t="shared" ref="C8:AL8" si="0">C6+C7</f>
        <v>4184.7116999999998</v>
      </c>
      <c r="D8" s="25">
        <f t="shared" si="0"/>
        <v>12650.8737</v>
      </c>
      <c r="E8" s="25">
        <f t="shared" si="0"/>
        <v>25454.286</v>
      </c>
      <c r="F8" s="25">
        <f t="shared" si="0"/>
        <v>42702.819300000003</v>
      </c>
      <c r="G8" s="25">
        <f t="shared" si="0"/>
        <v>64470.864300000001</v>
      </c>
      <c r="H8" s="25">
        <f t="shared" si="0"/>
        <v>90851.402399999992</v>
      </c>
      <c r="I8" s="25">
        <f t="shared" si="0"/>
        <v>121922.55359999998</v>
      </c>
      <c r="J8" s="25">
        <f t="shared" si="0"/>
        <v>157781.0007</v>
      </c>
      <c r="K8" s="25">
        <f t="shared" si="0"/>
        <v>198486.27299999999</v>
      </c>
      <c r="L8" s="25">
        <f t="shared" si="0"/>
        <v>244094.17050000001</v>
      </c>
      <c r="M8" s="25">
        <f t="shared" si="0"/>
        <v>294660.49320000003</v>
      </c>
      <c r="N8" s="25">
        <f t="shared" si="0"/>
        <v>350222.45039999997</v>
      </c>
      <c r="O8" s="25">
        <f t="shared" si="0"/>
        <v>410806.11930000002</v>
      </c>
      <c r="P8" s="25">
        <f t="shared" si="0"/>
        <v>476430.11849999998</v>
      </c>
      <c r="Q8" s="25">
        <f t="shared" si="0"/>
        <v>547064.75309999997</v>
      </c>
      <c r="R8" s="25">
        <f t="shared" si="0"/>
        <v>622732.37099999993</v>
      </c>
      <c r="S8" s="25">
        <f t="shared" si="0"/>
        <v>703366.09589999996</v>
      </c>
      <c r="T8" s="25">
        <f t="shared" si="0"/>
        <v>788921.37150000001</v>
      </c>
      <c r="U8" s="25">
        <f t="shared" si="0"/>
        <v>879342.48149999999</v>
      </c>
      <c r="V8" s="25">
        <f t="shared" si="0"/>
        <v>974536.52819999994</v>
      </c>
      <c r="W8" s="25">
        <f t="shared" si="0"/>
        <v>1074432.9338999998</v>
      </c>
      <c r="X8" s="25">
        <f t="shared" si="0"/>
        <v>1178897.9180999999</v>
      </c>
      <c r="Y8" s="25">
        <f t="shared" si="0"/>
        <v>1287812.5617</v>
      </c>
      <c r="Z8" s="25">
        <f t="shared" si="0"/>
        <v>1401028.2227999999</v>
      </c>
      <c r="AA8" s="25">
        <f t="shared" si="0"/>
        <v>1518418.5515999999</v>
      </c>
      <c r="AB8" s="25">
        <f t="shared" si="0"/>
        <v>1639808.8847999999</v>
      </c>
      <c r="AC8" s="25">
        <f t="shared" si="0"/>
        <v>1765017.1004999999</v>
      </c>
      <c r="AD8" s="25">
        <f t="shared" si="0"/>
        <v>1893868.5353999999</v>
      </c>
      <c r="AE8" s="25">
        <f t="shared" si="0"/>
        <v>2026181.0675999997</v>
      </c>
      <c r="AF8" s="25">
        <f t="shared" si="0"/>
        <v>2161724.2616999997</v>
      </c>
      <c r="AG8" s="25">
        <f t="shared" si="0"/>
        <v>2300319.7250999999</v>
      </c>
      <c r="AH8" s="25">
        <f t="shared" si="0"/>
        <v>2441751.8838</v>
      </c>
      <c r="AI8" s="25">
        <f t="shared" si="0"/>
        <v>2585790.3023999999</v>
      </c>
      <c r="AJ8" s="25">
        <f t="shared" si="0"/>
        <v>2732223.1082999995</v>
      </c>
      <c r="AK8" s="25">
        <f t="shared" si="0"/>
        <v>2880819.8660999998</v>
      </c>
      <c r="AL8" s="25">
        <f t="shared" si="0"/>
        <v>3031361.2725</v>
      </c>
    </row>
    <row r="9" spans="1:38" x14ac:dyDescent="0.2">
      <c r="A9" s="17" t="s">
        <v>183</v>
      </c>
      <c r="B9" s="17" t="s">
        <v>180</v>
      </c>
      <c r="C9" s="25">
        <f t="shared" ref="C9:AL9" si="1">C8*12</f>
        <v>50216.540399999998</v>
      </c>
      <c r="D9" s="25">
        <f t="shared" si="1"/>
        <v>151810.48440000002</v>
      </c>
      <c r="E9" s="25">
        <f t="shared" si="1"/>
        <v>305451.43200000003</v>
      </c>
      <c r="F9" s="25">
        <f t="shared" si="1"/>
        <v>512433.83160000003</v>
      </c>
      <c r="G9" s="25">
        <f t="shared" si="1"/>
        <v>773650.37159999995</v>
      </c>
      <c r="H9" s="25">
        <f t="shared" si="1"/>
        <v>1090216.8287999998</v>
      </c>
      <c r="I9" s="25">
        <f t="shared" si="1"/>
        <v>1463070.6431999998</v>
      </c>
      <c r="J9" s="25">
        <f t="shared" si="1"/>
        <v>1893372.0084000002</v>
      </c>
      <c r="K9" s="25">
        <f t="shared" si="1"/>
        <v>2381835.2759999996</v>
      </c>
      <c r="L9" s="25">
        <f t="shared" si="1"/>
        <v>2929130.0460000001</v>
      </c>
      <c r="M9" s="25">
        <f t="shared" si="1"/>
        <v>3535925.9184000003</v>
      </c>
      <c r="N9" s="25">
        <f t="shared" si="1"/>
        <v>4202669.4047999997</v>
      </c>
      <c r="O9" s="25">
        <f t="shared" si="1"/>
        <v>4929673.4316000007</v>
      </c>
      <c r="P9" s="25">
        <f t="shared" si="1"/>
        <v>5717161.4220000003</v>
      </c>
      <c r="Q9" s="25">
        <f t="shared" si="1"/>
        <v>6564777.0372000001</v>
      </c>
      <c r="R9" s="25">
        <f t="shared" si="1"/>
        <v>7472788.4519999996</v>
      </c>
      <c r="S9" s="25">
        <f t="shared" si="1"/>
        <v>8440393.150799999</v>
      </c>
      <c r="T9" s="25">
        <f t="shared" si="1"/>
        <v>9467056.4580000006</v>
      </c>
      <c r="U9" s="25">
        <f t="shared" si="1"/>
        <v>10552109.778000001</v>
      </c>
      <c r="V9" s="25">
        <f t="shared" si="1"/>
        <v>11694438.338399999</v>
      </c>
      <c r="W9" s="25">
        <f t="shared" si="1"/>
        <v>12893195.206799999</v>
      </c>
      <c r="X9" s="25">
        <f t="shared" si="1"/>
        <v>14146775.017199999</v>
      </c>
      <c r="Y9" s="25">
        <f t="shared" si="1"/>
        <v>15453750.7404</v>
      </c>
      <c r="Z9" s="25">
        <f t="shared" si="1"/>
        <v>16812338.673599999</v>
      </c>
      <c r="AA9" s="25">
        <f t="shared" si="1"/>
        <v>18221022.619199999</v>
      </c>
      <c r="AB9" s="25">
        <f t="shared" si="1"/>
        <v>19677706.617599998</v>
      </c>
      <c r="AC9" s="25">
        <f t="shared" si="1"/>
        <v>21180205.206</v>
      </c>
      <c r="AD9" s="25">
        <f t="shared" si="1"/>
        <v>22726422.424800001</v>
      </c>
      <c r="AE9" s="25">
        <f t="shared" si="1"/>
        <v>24314172.811199997</v>
      </c>
      <c r="AF9" s="25">
        <f t="shared" si="1"/>
        <v>25940691.140399996</v>
      </c>
      <c r="AG9" s="25">
        <f t="shared" si="1"/>
        <v>27603836.701200001</v>
      </c>
      <c r="AH9" s="25">
        <f t="shared" si="1"/>
        <v>29301022.605599999</v>
      </c>
      <c r="AI9" s="25">
        <f t="shared" si="1"/>
        <v>31029483.628799997</v>
      </c>
      <c r="AJ9" s="25">
        <f t="shared" si="1"/>
        <v>32786677.299599994</v>
      </c>
      <c r="AK9" s="25">
        <f t="shared" si="1"/>
        <v>34569838.393199995</v>
      </c>
      <c r="AL9" s="25">
        <f t="shared" si="1"/>
        <v>36376335.269999996</v>
      </c>
    </row>
    <row r="10" spans="1:38" x14ac:dyDescent="0.2">
      <c r="A10" s="3" t="s">
        <v>184</v>
      </c>
      <c r="B10" s="4"/>
      <c r="C10" s="4"/>
      <c r="D10" s="4"/>
      <c r="E10" s="4"/>
    </row>
    <row r="11" spans="1:38" x14ac:dyDescent="0.2">
      <c r="A11" s="6" t="s">
        <v>185</v>
      </c>
      <c r="B11" s="6" t="s">
        <v>180</v>
      </c>
      <c r="C11" s="24">
        <f>'User Growth'!C12*Assumptions!$B$29 + 'User Growth'!C13*Assumptions!$B$30</f>
        <v>4296.1163999999999</v>
      </c>
      <c r="D11" s="24">
        <f>'User Growth'!D12*Assumptions!$B$29 + 'User Growth'!D13*Assumptions!$B$30</f>
        <v>8778.0560999999998</v>
      </c>
      <c r="E11" s="24">
        <f>'User Growth'!E12*Assumptions!$B$29 + 'User Growth'!E13*Assumptions!$B$30</f>
        <v>13442.089799999998</v>
      </c>
      <c r="F11" s="24">
        <f>'User Growth'!F12*Assumptions!$B$29 + 'User Growth'!F13*Assumptions!$B$30</f>
        <v>18332.829599999997</v>
      </c>
      <c r="G11" s="24">
        <f>'User Growth'!G12*Assumptions!$B$29 + 'User Growth'!G13*Assumptions!$B$30</f>
        <v>23413.094099999998</v>
      </c>
      <c r="H11" s="24">
        <f>'User Growth'!H12*Assumptions!$B$29 + 'User Growth'!H13*Assumptions!$B$30</f>
        <v>28712.633999999998</v>
      </c>
      <c r="I11" s="24">
        <f>'User Growth'!I12*Assumptions!$B$29 + 'User Growth'!I13*Assumptions!$B$30</f>
        <v>34201.698600000003</v>
      </c>
      <c r="J11" s="24">
        <f>'User Growth'!J12*Assumptions!$B$29 + 'User Growth'!J13*Assumptions!$B$30</f>
        <v>39917.469299999997</v>
      </c>
      <c r="K11" s="24">
        <f>'User Growth'!K12*Assumptions!$B$29 + 'User Growth'!K13*Assumptions!$B$30</f>
        <v>45826.493999999999</v>
      </c>
      <c r="L11" s="24">
        <f>'User Growth'!L12*Assumptions!$B$29 + 'User Growth'!L13*Assumptions!$B$30</f>
        <v>51917.612699999998</v>
      </c>
      <c r="M11" s="24">
        <f>'User Growth'!M12*Assumptions!$B$29 + 'User Growth'!M13*Assumptions!$B$30</f>
        <v>58201.98539999999</v>
      </c>
      <c r="N11" s="24">
        <f>'User Growth'!N12*Assumptions!$B$29 + 'User Growth'!N13*Assumptions!$B$30</f>
        <v>64653.590700000001</v>
      </c>
      <c r="O11" s="24">
        <f>'User Growth'!O12*Assumptions!$B$29 + 'User Growth'!O13*Assumptions!$B$30</f>
        <v>71276.157899999991</v>
      </c>
      <c r="P11" s="24">
        <f>'User Growth'!P12*Assumptions!$B$29 + 'User Growth'!P13*Assumptions!$B$30</f>
        <v>78039.936300000001</v>
      </c>
      <c r="Q11" s="24">
        <f>'User Growth'!Q12*Assumptions!$B$29 + 'User Growth'!Q13*Assumptions!$B$30</f>
        <v>84933.793799999999</v>
      </c>
      <c r="R11" s="24">
        <f>'User Growth'!R12*Assumptions!$B$29 + 'User Growth'!R13*Assumptions!$B$30</f>
        <v>91965.161099999998</v>
      </c>
      <c r="S11" s="24">
        <f>'User Growth'!S12*Assumptions!$B$29 + 'User Growth'!S13*Assumptions!$B$30</f>
        <v>99081.9954</v>
      </c>
      <c r="T11" s="24">
        <f>'User Growth'!T12*Assumptions!$B$29 + 'User Growth'!T13*Assumptions!$B$30</f>
        <v>106288.02599999998</v>
      </c>
      <c r="U11" s="24">
        <f>'User Growth'!U12*Assumptions!$B$29 + 'User Growth'!U13*Assumptions!$B$30</f>
        <v>113575.8222</v>
      </c>
      <c r="V11" s="24">
        <f>'User Growth'!V12*Assumptions!$B$29 + 'User Growth'!V13*Assumptions!$B$30</f>
        <v>120900.77189999999</v>
      </c>
      <c r="W11" s="24">
        <f>'User Growth'!W12*Assumptions!$B$29 + 'User Growth'!W13*Assumptions!$B$30</f>
        <v>128266.6044</v>
      </c>
      <c r="X11" s="24">
        <f>'User Growth'!X12*Assumptions!$B$29 + 'User Growth'!X13*Assumptions!$B$30</f>
        <v>135658.4583</v>
      </c>
      <c r="Y11" s="24">
        <f>'User Growth'!Y12*Assumptions!$B$29 + 'User Growth'!Y13*Assumptions!$B$30</f>
        <v>143039.15219999998</v>
      </c>
      <c r="Z11" s="24">
        <f>'User Growth'!Z12*Assumptions!$B$29 + 'User Growth'!Z13*Assumptions!$B$30</f>
        <v>150404.9847</v>
      </c>
      <c r="AA11" s="24">
        <f>'User Growth'!AA12*Assumptions!$B$29 + 'User Growth'!AA13*Assumptions!$B$30</f>
        <v>157748.5251</v>
      </c>
      <c r="AB11" s="24">
        <f>'User Growth'!AB12*Assumptions!$B$29 + 'User Growth'!AB13*Assumptions!$B$30</f>
        <v>165043.75199999998</v>
      </c>
      <c r="AC11" s="24">
        <f>'User Growth'!AC12*Assumptions!$B$29 + 'User Growth'!AC13*Assumptions!$B$30</f>
        <v>172264.644</v>
      </c>
      <c r="AD11" s="24">
        <f>'User Growth'!AD12*Assumptions!$B$29 + 'User Growth'!AD13*Assumptions!$B$30</f>
        <v>179414.93039999998</v>
      </c>
      <c r="AE11" s="24">
        <f>'User Growth'!AE12*Assumptions!$B$29 + 'User Growth'!AE13*Assumptions!$B$30</f>
        <v>186476.02049999998</v>
      </c>
      <c r="AF11" s="24">
        <f>'User Growth'!AF12*Assumptions!$B$29 + 'User Growth'!AF13*Assumptions!$B$30</f>
        <v>193425.62219999998</v>
      </c>
      <c r="AG11" s="24">
        <f>'User Growth'!AG12*Assumptions!$B$29 + 'User Growth'!AG13*Assumptions!$B$30</f>
        <v>200271.16619999998</v>
      </c>
      <c r="AH11" s="24">
        <f>'User Growth'!AH12*Assumptions!$B$29 + 'User Growth'!AH13*Assumptions!$B$30</f>
        <v>206990.36039999998</v>
      </c>
      <c r="AI11" s="24">
        <f>'User Growth'!AI12*Assumptions!$B$29 + 'User Growth'!AI13*Assumptions!$B$30</f>
        <v>213546.02339999998</v>
      </c>
      <c r="AJ11" s="24">
        <f>'User Growth'!AJ12*Assumptions!$B$29 + 'User Growth'!AJ13*Assumptions!$B$30</f>
        <v>219975.33659999998</v>
      </c>
      <c r="AK11" s="24">
        <f>'User Growth'!AK12*Assumptions!$B$29 + 'User Growth'!AK13*Assumptions!$B$30</f>
        <v>226226.25719999999</v>
      </c>
      <c r="AL11" s="24">
        <f>'User Growth'!AL12*Assumptions!$B$29 + 'User Growth'!AL13*Assumptions!$B$30</f>
        <v>232335.96659999999</v>
      </c>
    </row>
    <row r="12" spans="1:38" x14ac:dyDescent="0.2">
      <c r="A12" s="6" t="s">
        <v>186</v>
      </c>
      <c r="B12" s="6" t="s">
        <v>180</v>
      </c>
      <c r="C12" s="24">
        <f>'User Growth'!C19*(Assumptions!$B$30-Assumptions!$B$29)</f>
        <v>78.11999999999999</v>
      </c>
      <c r="D12" s="24">
        <f>'User Growth'!D19*(Assumptions!$B$30-Assumptions!$B$29)</f>
        <v>245.51999999999995</v>
      </c>
      <c r="E12" s="24">
        <f>'User Growth'!E19*(Assumptions!$B$30-Assumptions!$B$29)</f>
        <v>479.87999999999994</v>
      </c>
      <c r="F12" s="24">
        <f>'User Growth'!F19*(Assumptions!$B$30-Assumptions!$B$29)</f>
        <v>803.51999999999987</v>
      </c>
      <c r="G12" s="24">
        <f>'User Growth'!G19*(Assumptions!$B$30-Assumptions!$B$29)</f>
        <v>1194.1199999999999</v>
      </c>
      <c r="H12" s="24">
        <f>'User Growth'!H19*(Assumptions!$B$30-Assumptions!$B$29)</f>
        <v>1651.6799999999998</v>
      </c>
      <c r="I12" s="24">
        <f>'User Growth'!I19*(Assumptions!$B$30-Assumptions!$B$29)</f>
        <v>2198.5199999999995</v>
      </c>
      <c r="J12" s="24">
        <f>'User Growth'!J19*(Assumptions!$B$30-Assumptions!$B$29)</f>
        <v>2801.1599999999994</v>
      </c>
      <c r="K12" s="24">
        <f>'User Growth'!K19*(Assumptions!$B$30-Assumptions!$B$29)</f>
        <v>3481.9199999999996</v>
      </c>
      <c r="L12" s="24">
        <f>'User Growth'!L19*(Assumptions!$B$30-Assumptions!$B$29)</f>
        <v>4229.6399999999994</v>
      </c>
      <c r="M12" s="24">
        <f>'User Growth'!M19*(Assumptions!$B$30-Assumptions!$B$29)</f>
        <v>5044.32</v>
      </c>
      <c r="N12" s="24">
        <f>'User Growth'!N19*(Assumptions!$B$30-Assumptions!$B$29)</f>
        <v>5925.9599999999991</v>
      </c>
      <c r="O12" s="24">
        <f>'User Growth'!O19*(Assumptions!$B$30-Assumptions!$B$29)</f>
        <v>6874.5599999999986</v>
      </c>
      <c r="P12" s="24">
        <f>'User Growth'!P19*(Assumptions!$B$30-Assumptions!$B$29)</f>
        <v>7890.119999999999</v>
      </c>
      <c r="Q12" s="24">
        <f>'User Growth'!Q19*(Assumptions!$B$30-Assumptions!$B$29)</f>
        <v>8961.48</v>
      </c>
      <c r="R12" s="24">
        <f>'User Growth'!R19*(Assumptions!$B$30-Assumptions!$B$29)</f>
        <v>10088.64</v>
      </c>
      <c r="S12" s="24">
        <f>'User Growth'!S19*(Assumptions!$B$30-Assumptions!$B$29)</f>
        <v>11271.599999999999</v>
      </c>
      <c r="T12" s="24">
        <f>'User Growth'!T19*(Assumptions!$B$30-Assumptions!$B$29)</f>
        <v>12521.519999999999</v>
      </c>
      <c r="U12" s="24">
        <f>'User Growth'!U19*(Assumptions!$B$30-Assumptions!$B$29)</f>
        <v>13816.079999999998</v>
      </c>
      <c r="V12" s="24">
        <f>'User Growth'!V19*(Assumptions!$B$30-Assumptions!$B$29)</f>
        <v>15155.279999999997</v>
      </c>
      <c r="W12" s="24">
        <f>'User Growth'!W19*(Assumptions!$B$30-Assumptions!$B$29)</f>
        <v>16550.28</v>
      </c>
      <c r="X12" s="24">
        <f>'User Growth'!X19*(Assumptions!$B$30-Assumptions!$B$29)</f>
        <v>17978.759999999998</v>
      </c>
      <c r="Y12" s="24">
        <f>'User Growth'!Y19*(Assumptions!$B$30-Assumptions!$B$29)</f>
        <v>19451.879999999997</v>
      </c>
      <c r="Z12" s="24">
        <f>'User Growth'!Z19*(Assumptions!$B$30-Assumptions!$B$29)</f>
        <v>20969.639999999996</v>
      </c>
      <c r="AA12" s="24">
        <f>'User Growth'!AA19*(Assumptions!$B$30-Assumptions!$B$29)</f>
        <v>22509.719999999998</v>
      </c>
      <c r="AB12" s="24">
        <f>'User Growth'!AB19*(Assumptions!$B$30-Assumptions!$B$29)</f>
        <v>24094.439999999995</v>
      </c>
      <c r="AC12" s="24">
        <f>'User Growth'!AC19*(Assumptions!$B$30-Assumptions!$B$29)</f>
        <v>25701.479999999996</v>
      </c>
      <c r="AD12" s="24">
        <f>'User Growth'!AD19*(Assumptions!$B$30-Assumptions!$B$29)</f>
        <v>27330.839999999997</v>
      </c>
      <c r="AE12" s="24">
        <f>'User Growth'!AE19*(Assumptions!$B$30-Assumptions!$B$29)</f>
        <v>28982.519999999997</v>
      </c>
      <c r="AF12" s="24">
        <f>'User Growth'!AF19*(Assumptions!$B$30-Assumptions!$B$29)</f>
        <v>30645.359999999997</v>
      </c>
      <c r="AG12" s="24">
        <f>'User Growth'!AG19*(Assumptions!$B$30-Assumptions!$B$29)</f>
        <v>32330.519999999997</v>
      </c>
      <c r="AH12" s="24">
        <f>'User Growth'!AH19*(Assumptions!$B$30-Assumptions!$B$29)</f>
        <v>34015.679999999993</v>
      </c>
      <c r="AI12" s="24">
        <f>'User Growth'!AI19*(Assumptions!$B$30-Assumptions!$B$29)</f>
        <v>35723.159999999996</v>
      </c>
      <c r="AJ12" s="24">
        <f>'User Growth'!AJ19*(Assumptions!$B$30-Assumptions!$B$29)</f>
        <v>37419.479999999996</v>
      </c>
      <c r="AK12" s="24">
        <f>'User Growth'!AK19*(Assumptions!$B$30-Assumptions!$B$29)</f>
        <v>39126.959999999992</v>
      </c>
      <c r="AL12" s="24">
        <f>'User Growth'!AL19*(Assumptions!$B$30-Assumptions!$B$29)</f>
        <v>40823.279999999992</v>
      </c>
    </row>
    <row r="13" spans="1:38" x14ac:dyDescent="0.2">
      <c r="A13" s="6" t="s">
        <v>187</v>
      </c>
      <c r="B13" s="6" t="s">
        <v>180</v>
      </c>
      <c r="C13" s="26">
        <f>'User Growth'!C20*Assumptions!$B$29 + 'User Growth'!C25*Assumptions!$B$30</f>
        <v>189.5247</v>
      </c>
      <c r="D13" s="26">
        <f>'User Growth'!D20*Assumptions!$B$29 + 'User Growth'!D25*Assumptions!$B$30</f>
        <v>557.41409999999996</v>
      </c>
      <c r="E13" s="26">
        <f>'User Growth'!E20*Assumptions!$B$29 + 'User Growth'!E25*Assumptions!$B$30</f>
        <v>1118.5574999999999</v>
      </c>
      <c r="F13" s="26">
        <f>'User Growth'!F20*Assumptions!$B$29 + 'User Growth'!F25*Assumptions!$B$30</f>
        <v>1887.8163</v>
      </c>
      <c r="G13" s="26">
        <f>'User Growth'!G20*Assumptions!$B$29 + 'User Growth'!G25*Assumptions!$B$30</f>
        <v>2839.1691000000001</v>
      </c>
      <c r="H13" s="26">
        <f>'User Growth'!H20*Assumptions!$B$29 + 'User Growth'!H25*Assumptions!$B$30</f>
        <v>3983.7758999999996</v>
      </c>
      <c r="I13" s="26">
        <f>'User Growth'!I20*Assumptions!$B$29 + 'User Growth'!I25*Assumptions!$B$30</f>
        <v>5329.0673999999999</v>
      </c>
      <c r="J13" s="26">
        <f>'User Growth'!J20*Assumptions!$B$29 + 'User Growth'!J25*Assumptions!$B$30</f>
        <v>6860.1821999999993</v>
      </c>
      <c r="K13" s="26">
        <f>'User Growth'!K20*Assumptions!$B$29 + 'User Growth'!K25*Assumptions!$B$30</f>
        <v>8603.1417000000001</v>
      </c>
      <c r="L13" s="26">
        <f>'User Growth'!L20*Assumptions!$B$29 + 'User Growth'!L25*Assumptions!$B$30</f>
        <v>10539.3552</v>
      </c>
      <c r="M13" s="26">
        <f>'User Growth'!M20*Assumptions!$B$29 + 'User Growth'!M25*Assumptions!$B$30</f>
        <v>12679.9827</v>
      </c>
      <c r="N13" s="26">
        <f>'User Growth'!N20*Assumptions!$B$29 + 'User Growth'!N25*Assumptions!$B$30</f>
        <v>15017.593499999999</v>
      </c>
      <c r="O13" s="26">
        <f>'User Growth'!O20*Assumptions!$B$29 + 'User Growth'!O25*Assumptions!$B$30</f>
        <v>17567.048999999999</v>
      </c>
      <c r="P13" s="26">
        <f>'User Growth'!P20*Assumptions!$B$29 + 'User Growth'!P25*Assumptions!$B$30</f>
        <v>20306.057099999998</v>
      </c>
      <c r="Q13" s="26">
        <f>'User Growth'!Q20*Assumptions!$B$29 + 'User Growth'!Q25*Assumptions!$B$30</f>
        <v>23260.639199999998</v>
      </c>
      <c r="R13" s="26">
        <f>'User Growth'!R20*Assumptions!$B$29 + 'User Growth'!R25*Assumptions!$B$30</f>
        <v>26386.183199999999</v>
      </c>
      <c r="S13" s="26">
        <f>'User Growth'!S20*Assumptions!$B$29 + 'User Growth'!S25*Assumptions!$B$30</f>
        <v>29719.870499999997</v>
      </c>
      <c r="T13" s="26">
        <f>'User Growth'!T20*Assumptions!$B$29 + 'User Growth'!T25*Assumptions!$B$30</f>
        <v>33254.270399999994</v>
      </c>
      <c r="U13" s="26">
        <f>'User Growth'!U20*Assumptions!$B$29 + 'User Growth'!U25*Assumptions!$B$30</f>
        <v>36970.792199999996</v>
      </c>
      <c r="V13" s="26">
        <f>'User Growth'!V20*Assumptions!$B$29 + 'User Growth'!V25*Assumptions!$B$30</f>
        <v>40862.0052</v>
      </c>
      <c r="W13" s="26">
        <f>'User Growth'!W20*Assumptions!$B$29 + 'User Growth'!W25*Assumptions!$B$30</f>
        <v>44920.4787</v>
      </c>
      <c r="X13" s="26">
        <f>'User Growth'!X20*Assumptions!$B$29 + 'User Growth'!X25*Assumptions!$B$30</f>
        <v>49172.234100000001</v>
      </c>
      <c r="Y13" s="26">
        <f>'User Growth'!Y20*Assumptions!$B$29 + 'User Growth'!Y25*Assumptions!$B$30</f>
        <v>53576.388599999998</v>
      </c>
      <c r="Z13" s="26">
        <f>'User Growth'!Z20*Assumptions!$B$29 + 'User Growth'!Z25*Assumptions!$B$30</f>
        <v>58158.963600000003</v>
      </c>
      <c r="AA13" s="26">
        <f>'User Growth'!AA20*Assumptions!$B$29 + 'User Growth'!AA25*Assumptions!$B$30</f>
        <v>62867.916299999997</v>
      </c>
      <c r="AB13" s="26">
        <f>'User Growth'!AB20*Assumptions!$B$29 + 'User Growth'!AB25*Assumptions!$B$30</f>
        <v>67747.858800000002</v>
      </c>
      <c r="AC13" s="26">
        <f>'User Growth'!AC20*Assumptions!$B$29 + 'User Growth'!AC25*Assumptions!$B$30</f>
        <v>72757.908299999996</v>
      </c>
      <c r="AD13" s="26">
        <f>'User Growth'!AD20*Assumptions!$B$29 + 'User Growth'!AD25*Assumptions!$B$30</f>
        <v>77894.335500000001</v>
      </c>
      <c r="AE13" s="26">
        <f>'User Growth'!AE20*Assumptions!$B$29 + 'User Growth'!AE25*Assumptions!$B$30</f>
        <v>83146.008299999987</v>
      </c>
      <c r="AF13" s="26">
        <f>'User Growth'!AF20*Assumptions!$B$29 + 'User Growth'!AF25*Assumptions!$B$30</f>
        <v>88527.788100000005</v>
      </c>
      <c r="AG13" s="26">
        <f>'User Growth'!AG20*Assumptions!$B$29 + 'User Growth'!AG25*Assumptions!$B$30</f>
        <v>94006.222799999989</v>
      </c>
      <c r="AH13" s="26">
        <f>'User Growth'!AH20*Assumptions!$B$29 + 'User Growth'!AH25*Assumptions!$B$30</f>
        <v>99573.881699999998</v>
      </c>
      <c r="AI13" s="26">
        <f>'User Growth'!AI20*Assumptions!$B$29 + 'User Growth'!AI25*Assumptions!$B$30</f>
        <v>105230.7648</v>
      </c>
      <c r="AJ13" s="26">
        <f>'User Growth'!AJ20*Assumptions!$B$29 + 'User Growth'!AJ25*Assumptions!$B$30</f>
        <v>110962.0107</v>
      </c>
      <c r="AK13" s="26">
        <f>'User Growth'!AK20*Assumptions!$B$29 + 'User Growth'!AK25*Assumptions!$B$30</f>
        <v>116756.45939999999</v>
      </c>
      <c r="AL13" s="26">
        <f>'User Growth'!AL20*Assumptions!$B$29 + 'User Growth'!AL25*Assumptions!$B$30</f>
        <v>122617.84019999999</v>
      </c>
    </row>
    <row r="14" spans="1:38" x14ac:dyDescent="0.2">
      <c r="A14" s="17" t="s">
        <v>188</v>
      </c>
      <c r="B14" s="17" t="s">
        <v>180</v>
      </c>
      <c r="C14" s="27">
        <f t="shared" ref="C14:AL14" si="2">C11+C12-C13</f>
        <v>4184.7116999999998</v>
      </c>
      <c r="D14" s="27">
        <f t="shared" si="2"/>
        <v>8466.1620000000003</v>
      </c>
      <c r="E14" s="27">
        <f t="shared" si="2"/>
        <v>12803.412299999996</v>
      </c>
      <c r="F14" s="27">
        <f t="shared" si="2"/>
        <v>17248.533299999999</v>
      </c>
      <c r="G14" s="27">
        <f t="shared" si="2"/>
        <v>21768.044999999998</v>
      </c>
      <c r="H14" s="27">
        <f t="shared" si="2"/>
        <v>26380.538099999998</v>
      </c>
      <c r="I14" s="27">
        <f t="shared" si="2"/>
        <v>31071.1512</v>
      </c>
      <c r="J14" s="27">
        <f t="shared" si="2"/>
        <v>35858.44709999999</v>
      </c>
      <c r="K14" s="27">
        <f t="shared" si="2"/>
        <v>40705.272299999997</v>
      </c>
      <c r="L14" s="27">
        <f t="shared" si="2"/>
        <v>45607.897499999999</v>
      </c>
      <c r="M14" s="27">
        <f t="shared" si="2"/>
        <v>50566.32269999999</v>
      </c>
      <c r="N14" s="27">
        <f t="shared" si="2"/>
        <v>55561.95719999999</v>
      </c>
      <c r="O14" s="27">
        <f t="shared" si="2"/>
        <v>60583.66889999999</v>
      </c>
      <c r="P14" s="27">
        <f t="shared" si="2"/>
        <v>65623.999199999991</v>
      </c>
      <c r="Q14" s="27">
        <f t="shared" si="2"/>
        <v>70634.63459999999</v>
      </c>
      <c r="R14" s="27">
        <f t="shared" si="2"/>
        <v>75667.617899999997</v>
      </c>
      <c r="S14" s="27">
        <f t="shared" si="2"/>
        <v>80633.724900000001</v>
      </c>
      <c r="T14" s="27">
        <f t="shared" si="2"/>
        <v>85555.275599999994</v>
      </c>
      <c r="U14" s="27">
        <f t="shared" si="2"/>
        <v>90421.11</v>
      </c>
      <c r="V14" s="27">
        <f t="shared" si="2"/>
        <v>95194.046699999992</v>
      </c>
      <c r="W14" s="27">
        <f t="shared" si="2"/>
        <v>99896.405699999974</v>
      </c>
      <c r="X14" s="27">
        <f t="shared" si="2"/>
        <v>104464.98420000001</v>
      </c>
      <c r="Y14" s="27">
        <f t="shared" si="2"/>
        <v>108914.64359999998</v>
      </c>
      <c r="Z14" s="27">
        <f t="shared" si="2"/>
        <v>113215.66109999998</v>
      </c>
      <c r="AA14" s="27">
        <f t="shared" si="2"/>
        <v>117390.3288</v>
      </c>
      <c r="AB14" s="27">
        <f t="shared" si="2"/>
        <v>121390.33319999998</v>
      </c>
      <c r="AC14" s="27">
        <f t="shared" si="2"/>
        <v>125208.21570000002</v>
      </c>
      <c r="AD14" s="27">
        <f t="shared" si="2"/>
        <v>128851.43489999998</v>
      </c>
      <c r="AE14" s="27">
        <f t="shared" si="2"/>
        <v>132312.53219999999</v>
      </c>
      <c r="AF14" s="27">
        <f t="shared" si="2"/>
        <v>135543.19409999996</v>
      </c>
      <c r="AG14" s="27">
        <f t="shared" si="2"/>
        <v>138595.46339999998</v>
      </c>
      <c r="AH14" s="27">
        <f t="shared" si="2"/>
        <v>141432.15869999997</v>
      </c>
      <c r="AI14" s="27">
        <f t="shared" si="2"/>
        <v>144038.41859999998</v>
      </c>
      <c r="AJ14" s="27">
        <f t="shared" si="2"/>
        <v>146432.80589999998</v>
      </c>
      <c r="AK14" s="27">
        <f t="shared" si="2"/>
        <v>148596.75779999996</v>
      </c>
      <c r="AL14" s="27">
        <f t="shared" si="2"/>
        <v>150541.40639999998</v>
      </c>
    </row>
    <row r="15" spans="1:38" x14ac:dyDescent="0.2">
      <c r="A15" s="3" t="s">
        <v>189</v>
      </c>
      <c r="B15" s="4"/>
      <c r="C15" s="4"/>
      <c r="D15" s="4"/>
      <c r="E15" s="4"/>
    </row>
    <row r="16" spans="1:38" x14ac:dyDescent="0.2">
      <c r="A16" s="6" t="s">
        <v>190</v>
      </c>
      <c r="B16" s="6" t="s">
        <v>180</v>
      </c>
      <c r="C16" s="28">
        <f t="shared" ref="C16:AL16" si="3">C8</f>
        <v>4184.7116999999998</v>
      </c>
      <c r="D16" s="28">
        <f t="shared" si="3"/>
        <v>12650.8737</v>
      </c>
      <c r="E16" s="28">
        <f t="shared" si="3"/>
        <v>25454.286</v>
      </c>
      <c r="F16" s="28">
        <f t="shared" si="3"/>
        <v>42702.819300000003</v>
      </c>
      <c r="G16" s="28">
        <f t="shared" si="3"/>
        <v>64470.864300000001</v>
      </c>
      <c r="H16" s="28">
        <f t="shared" si="3"/>
        <v>90851.402399999992</v>
      </c>
      <c r="I16" s="28">
        <f t="shared" si="3"/>
        <v>121922.55359999998</v>
      </c>
      <c r="J16" s="28">
        <f t="shared" si="3"/>
        <v>157781.0007</v>
      </c>
      <c r="K16" s="28">
        <f t="shared" si="3"/>
        <v>198486.27299999999</v>
      </c>
      <c r="L16" s="28">
        <f t="shared" si="3"/>
        <v>244094.17050000001</v>
      </c>
      <c r="M16" s="28">
        <f t="shared" si="3"/>
        <v>294660.49320000003</v>
      </c>
      <c r="N16" s="28">
        <f t="shared" si="3"/>
        <v>350222.45039999997</v>
      </c>
      <c r="O16" s="28">
        <f t="shared" si="3"/>
        <v>410806.11930000002</v>
      </c>
      <c r="P16" s="28">
        <f t="shared" si="3"/>
        <v>476430.11849999998</v>
      </c>
      <c r="Q16" s="28">
        <f t="shared" si="3"/>
        <v>547064.75309999997</v>
      </c>
      <c r="R16" s="28">
        <f t="shared" si="3"/>
        <v>622732.37099999993</v>
      </c>
      <c r="S16" s="28">
        <f t="shared" si="3"/>
        <v>703366.09589999996</v>
      </c>
      <c r="T16" s="28">
        <f t="shared" si="3"/>
        <v>788921.37150000001</v>
      </c>
      <c r="U16" s="28">
        <f t="shared" si="3"/>
        <v>879342.48149999999</v>
      </c>
      <c r="V16" s="28">
        <f t="shared" si="3"/>
        <v>974536.52819999994</v>
      </c>
      <c r="W16" s="28">
        <f t="shared" si="3"/>
        <v>1074432.9338999998</v>
      </c>
      <c r="X16" s="28">
        <f t="shared" si="3"/>
        <v>1178897.9180999999</v>
      </c>
      <c r="Y16" s="28">
        <f t="shared" si="3"/>
        <v>1287812.5617</v>
      </c>
      <c r="Z16" s="28">
        <f t="shared" si="3"/>
        <v>1401028.2227999999</v>
      </c>
      <c r="AA16" s="28">
        <f t="shared" si="3"/>
        <v>1518418.5515999999</v>
      </c>
      <c r="AB16" s="28">
        <f t="shared" si="3"/>
        <v>1639808.8847999999</v>
      </c>
      <c r="AC16" s="28">
        <f t="shared" si="3"/>
        <v>1765017.1004999999</v>
      </c>
      <c r="AD16" s="28">
        <f t="shared" si="3"/>
        <v>1893868.5353999999</v>
      </c>
      <c r="AE16" s="28">
        <f t="shared" si="3"/>
        <v>2026181.0675999997</v>
      </c>
      <c r="AF16" s="28">
        <f t="shared" si="3"/>
        <v>2161724.2616999997</v>
      </c>
      <c r="AG16" s="28">
        <f t="shared" si="3"/>
        <v>2300319.7250999999</v>
      </c>
      <c r="AH16" s="28">
        <f t="shared" si="3"/>
        <v>2441751.8838</v>
      </c>
      <c r="AI16" s="28">
        <f t="shared" si="3"/>
        <v>2585790.3023999999</v>
      </c>
      <c r="AJ16" s="28">
        <f t="shared" si="3"/>
        <v>2732223.1082999995</v>
      </c>
      <c r="AK16" s="28">
        <f t="shared" si="3"/>
        <v>2880819.8660999998</v>
      </c>
      <c r="AL16" s="28">
        <f t="shared" si="3"/>
        <v>3031361.2725</v>
      </c>
    </row>
    <row r="17" spans="1:38" x14ac:dyDescent="0.2">
      <c r="A17" s="17" t="s">
        <v>191</v>
      </c>
      <c r="B17" s="17" t="s">
        <v>180</v>
      </c>
      <c r="C17" s="25">
        <f>C16</f>
        <v>4184.7116999999998</v>
      </c>
      <c r="D17" s="25">
        <f t="shared" ref="D17:AL17" si="4">C17+D16</f>
        <v>16835.5854</v>
      </c>
      <c r="E17" s="25">
        <f t="shared" si="4"/>
        <v>42289.871400000004</v>
      </c>
      <c r="F17" s="25">
        <f t="shared" si="4"/>
        <v>84992.690700000006</v>
      </c>
      <c r="G17" s="25">
        <f t="shared" si="4"/>
        <v>149463.55499999999</v>
      </c>
      <c r="H17" s="25">
        <f t="shared" si="4"/>
        <v>240314.95739999998</v>
      </c>
      <c r="I17" s="25">
        <f t="shared" si="4"/>
        <v>362237.51099999994</v>
      </c>
      <c r="J17" s="25">
        <f t="shared" si="4"/>
        <v>520018.51169999992</v>
      </c>
      <c r="K17" s="25">
        <f t="shared" si="4"/>
        <v>718504.78469999996</v>
      </c>
      <c r="L17" s="25">
        <f t="shared" si="4"/>
        <v>962598.95519999997</v>
      </c>
      <c r="M17" s="25">
        <f t="shared" si="4"/>
        <v>1257259.4484000001</v>
      </c>
      <c r="N17" s="25">
        <f t="shared" si="4"/>
        <v>1607481.8988000001</v>
      </c>
      <c r="O17" s="25">
        <f t="shared" si="4"/>
        <v>2018288.0181</v>
      </c>
      <c r="P17" s="25">
        <f t="shared" si="4"/>
        <v>2494718.1365999999</v>
      </c>
      <c r="Q17" s="25">
        <f t="shared" si="4"/>
        <v>3041782.8896999997</v>
      </c>
      <c r="R17" s="25">
        <f t="shared" si="4"/>
        <v>3664515.2606999995</v>
      </c>
      <c r="S17" s="25">
        <f t="shared" si="4"/>
        <v>4367881.3565999996</v>
      </c>
      <c r="T17" s="25">
        <f t="shared" si="4"/>
        <v>5156802.7280999999</v>
      </c>
      <c r="U17" s="25">
        <f t="shared" si="4"/>
        <v>6036145.2095999997</v>
      </c>
      <c r="V17" s="25">
        <f t="shared" si="4"/>
        <v>7010681.7377999993</v>
      </c>
      <c r="W17" s="25">
        <f t="shared" si="4"/>
        <v>8085114.6716999989</v>
      </c>
      <c r="X17" s="25">
        <f t="shared" si="4"/>
        <v>9264012.5897999983</v>
      </c>
      <c r="Y17" s="25">
        <f t="shared" si="4"/>
        <v>10551825.151499998</v>
      </c>
      <c r="Z17" s="25">
        <f t="shared" si="4"/>
        <v>11952853.374299997</v>
      </c>
      <c r="AA17" s="25">
        <f t="shared" si="4"/>
        <v>13471271.925899997</v>
      </c>
      <c r="AB17" s="25">
        <f t="shared" si="4"/>
        <v>15111080.810699997</v>
      </c>
      <c r="AC17" s="25">
        <f t="shared" si="4"/>
        <v>16876097.911199998</v>
      </c>
      <c r="AD17" s="25">
        <f t="shared" si="4"/>
        <v>18769966.446599998</v>
      </c>
      <c r="AE17" s="25">
        <f t="shared" si="4"/>
        <v>20796147.514199998</v>
      </c>
      <c r="AF17" s="25">
        <f t="shared" si="4"/>
        <v>22957871.775899999</v>
      </c>
      <c r="AG17" s="25">
        <f t="shared" si="4"/>
        <v>25258191.500999998</v>
      </c>
      <c r="AH17" s="25">
        <f t="shared" si="4"/>
        <v>27699943.384799998</v>
      </c>
      <c r="AI17" s="25">
        <f t="shared" si="4"/>
        <v>30285733.687199999</v>
      </c>
      <c r="AJ17" s="25">
        <f t="shared" si="4"/>
        <v>33017956.795499999</v>
      </c>
      <c r="AK17" s="25">
        <f t="shared" si="4"/>
        <v>35898776.661600001</v>
      </c>
      <c r="AL17" s="25">
        <f t="shared" si="4"/>
        <v>38930137.934100002</v>
      </c>
    </row>
    <row r="18" spans="1:38" x14ac:dyDescent="0.2">
      <c r="A18" s="6" t="s">
        <v>192</v>
      </c>
      <c r="B18" s="6" t="s">
        <v>180</v>
      </c>
      <c r="C18" s="29">
        <f>IF('User Growth'!C29=0,0,C8/'User Growth'!C29)</f>
        <v>9.7093078886310895</v>
      </c>
      <c r="D18" s="29">
        <f>IF('User Growth'!D29=0,0,D8/'User Growth'!D29)</f>
        <v>9.7992824941905496</v>
      </c>
      <c r="E18" s="29">
        <f>IF('User Growth'!E29=0,0,E8/'User Growth'!E29)</f>
        <v>9.8660023255813947</v>
      </c>
      <c r="F18" s="29">
        <f>IF('User Growth'!F29=0,0,F8/'User Growth'!F29)</f>
        <v>9.9331982554082359</v>
      </c>
      <c r="G18" s="29">
        <f>IF('User Growth'!G29=0,0,G8/'User Growth'!G29)</f>
        <v>9.9970327647697328</v>
      </c>
      <c r="H18" s="29">
        <f>IF('User Growth'!H29=0,0,H8/'User Growth'!H29)</f>
        <v>10.058835518157661</v>
      </c>
      <c r="I18" s="29">
        <f>IF('User Growth'!I29=0,0,I8/'User Growth'!I29)</f>
        <v>10.119733864541832</v>
      </c>
      <c r="J18" s="29">
        <f>IF('User Growth'!J29=0,0,J8/'User Growth'!J29)</f>
        <v>10.178762705631895</v>
      </c>
      <c r="K18" s="29">
        <f>IF('User Growth'!K29=0,0,K8/'User Growth'!K29)</f>
        <v>10.236527746260959</v>
      </c>
      <c r="L18" s="29">
        <f>IF('User Growth'!L29=0,0,L8/'User Growth'!L29)</f>
        <v>10.292817647058824</v>
      </c>
      <c r="M18" s="29">
        <f>IF('User Growth'!M29=0,0,M8/'User Growth'!M29)</f>
        <v>10.347678508217447</v>
      </c>
      <c r="N18" s="29">
        <f>IF('User Growth'!N29=0,0,N8/'User Growth'!N29)</f>
        <v>10.400999358517462</v>
      </c>
      <c r="O18" s="29">
        <f>IF('User Growth'!O29=0,0,O8/'User Growth'!O29)</f>
        <v>10.453347904526833</v>
      </c>
      <c r="P18" s="29">
        <f>IF('User Growth'!P29=0,0,P8/'User Growth'!P29)</f>
        <v>10.504467390585381</v>
      </c>
      <c r="Q18" s="29">
        <f>IF('User Growth'!Q29=0,0,Q8/'User Growth'!Q29)</f>
        <v>10.554371792101556</v>
      </c>
      <c r="R18" s="29">
        <f>IF('User Growth'!R29=0,0,R8/'User Growth'!R29)</f>
        <v>10.603309569215051</v>
      </c>
      <c r="S18" s="29">
        <f>IF('User Growth'!S29=0,0,S8/'User Growth'!S29)</f>
        <v>10.651090992928205</v>
      </c>
      <c r="T18" s="29">
        <f>IF('User Growth'!T29=0,0,T8/'User Growth'!T29)</f>
        <v>10.69796422130314</v>
      </c>
      <c r="U18" s="29">
        <f>IF('User Growth'!U29=0,0,U8/'User Growth'!U29)</f>
        <v>10.743997574683853</v>
      </c>
      <c r="V18" s="29">
        <f>IF('User Growth'!V29=0,0,V8/'User Growth'!V29)</f>
        <v>10.789103117596262</v>
      </c>
      <c r="W18" s="29">
        <f>IF('User Growth'!W29=0,0,W8/'User Growth'!W29)</f>
        <v>10.833488953083879</v>
      </c>
      <c r="X18" s="29">
        <f>IF('User Growth'!X29=0,0,X8/'User Growth'!X29)</f>
        <v>10.87714787466669</v>
      </c>
      <c r="Y18" s="29">
        <f>IF('User Growth'!Y29=0,0,Y8/'User Growth'!Y29)</f>
        <v>10.920051230804454</v>
      </c>
      <c r="Z18" s="29">
        <f>IF('User Growth'!Z29=0,0,Z8/'User Growth'!Z29)</f>
        <v>10.962319041657537</v>
      </c>
      <c r="AA18" s="29">
        <f>IF('User Growth'!AA29=0,0,AA8/'User Growth'!AA29)</f>
        <v>11.003989851291417</v>
      </c>
      <c r="AB18" s="29">
        <f>IF('User Growth'!AB29=0,0,AB8/'User Growth'!AB29)</f>
        <v>11.045161687681862</v>
      </c>
      <c r="AC18" s="29">
        <f>IF('User Growth'!AC29=0,0,AC8/'User Growth'!AC29)</f>
        <v>11.085746321012467</v>
      </c>
      <c r="AD18" s="29">
        <f>IF('User Growth'!AD29=0,0,AD8/'User Growth'!AD29)</f>
        <v>11.125874066806876</v>
      </c>
      <c r="AE18" s="29">
        <f>IF('User Growth'!AE29=0,0,AE8/'User Growth'!AE29)</f>
        <v>11.165500626005686</v>
      </c>
      <c r="AF18" s="29">
        <f>IF('User Growth'!AF29=0,0,AF8/'User Growth'!AF29)</f>
        <v>11.204649650393144</v>
      </c>
      <c r="AG18" s="29">
        <f>IF('User Growth'!AG29=0,0,AG8/'User Growth'!AG29)</f>
        <v>11.243394080442634</v>
      </c>
      <c r="AH18" s="29">
        <f>IF('User Growth'!AH29=0,0,AH8/'User Growth'!AH29)</f>
        <v>11.281738931036713</v>
      </c>
      <c r="AI18" s="29">
        <f>IF('User Growth'!AI29=0,0,AI8/'User Growth'!AI29)</f>
        <v>11.319737612943895</v>
      </c>
      <c r="AJ18" s="29">
        <f>IF('User Growth'!AJ29=0,0,AJ8/'User Growth'!AJ29)</f>
        <v>11.357336599063052</v>
      </c>
      <c r="AK18" s="29">
        <f>IF('User Growth'!AK29=0,0,AK8/'User Growth'!AK29)</f>
        <v>11.394611511215356</v>
      </c>
      <c r="AL18" s="29">
        <f>IF('User Growth'!AL29=0,0,AL8/'User Growth'!AL29)</f>
        <v>11.431550004713868</v>
      </c>
    </row>
    <row r="19" spans="1:38" x14ac:dyDescent="0.2">
      <c r="A19" t="s">
        <v>193</v>
      </c>
      <c r="B19" t="s">
        <v>175</v>
      </c>
      <c r="C19">
        <v>0</v>
      </c>
      <c r="D19">
        <f t="shared" ref="D19:AL19" si="5">IF(C8=0,0,(C8+D12-D13)/C8)</f>
        <v>0.92546819892036991</v>
      </c>
      <c r="E19">
        <f t="shared" si="5"/>
        <v>0.94951514692617622</v>
      </c>
      <c r="F19">
        <f t="shared" si="5"/>
        <v>0.95740221116396673</v>
      </c>
      <c r="G19">
        <f t="shared" si="5"/>
        <v>0.96147680347653308</v>
      </c>
      <c r="H19">
        <f t="shared" si="5"/>
        <v>0.96382713454641855</v>
      </c>
      <c r="I19">
        <f t="shared" si="5"/>
        <v>0.96554211253430255</v>
      </c>
      <c r="J19">
        <f t="shared" si="5"/>
        <v>0.9667081923717189</v>
      </c>
      <c r="K19">
        <f t="shared" si="5"/>
        <v>0.96754221561988107</v>
      </c>
      <c r="L19">
        <f t="shared" si="5"/>
        <v>0.96821082332479502</v>
      </c>
      <c r="M19">
        <f t="shared" si="5"/>
        <v>0.96871837338696298</v>
      </c>
      <c r="N19">
        <f t="shared" si="5"/>
        <v>0.96914539373342778</v>
      </c>
      <c r="O19">
        <f t="shared" si="5"/>
        <v>0.96946943581775591</v>
      </c>
      <c r="P19">
        <f t="shared" si="5"/>
        <v>0.96977665006267111</v>
      </c>
      <c r="Q19">
        <f t="shared" si="5"/>
        <v>0.96998686975328152</v>
      </c>
      <c r="R19">
        <f t="shared" si="5"/>
        <v>0.97020911490340367</v>
      </c>
      <c r="S19">
        <f t="shared" si="5"/>
        <v>0.97037528261077022</v>
      </c>
      <c r="T19">
        <f t="shared" si="5"/>
        <v>0.9705235288978904</v>
      </c>
      <c r="U19">
        <f t="shared" si="5"/>
        <v>0.97065016484979316</v>
      </c>
      <c r="V19">
        <f t="shared" si="5"/>
        <v>0.97076596918626179</v>
      </c>
      <c r="W19">
        <f t="shared" si="5"/>
        <v>0.97088852200091402</v>
      </c>
      <c r="X19">
        <f t="shared" si="5"/>
        <v>0.97096750004974886</v>
      </c>
      <c r="Y19">
        <f t="shared" si="5"/>
        <v>0.97105389018330135</v>
      </c>
      <c r="Z19">
        <f t="shared" si="5"/>
        <v>0.97112209904917568</v>
      </c>
      <c r="AA19">
        <f t="shared" si="5"/>
        <v>0.97119387344007757</v>
      </c>
      <c r="AB19">
        <f t="shared" si="5"/>
        <v>0.97125073402587103</v>
      </c>
      <c r="AC19">
        <f t="shared" si="5"/>
        <v>0.97130371183118736</v>
      </c>
      <c r="AD19">
        <f t="shared" si="5"/>
        <v>0.97135240475252271</v>
      </c>
      <c r="AE19">
        <f t="shared" si="5"/>
        <v>0.9714006081797224</v>
      </c>
      <c r="AF19">
        <f t="shared" si="5"/>
        <v>0.97143274654690104</v>
      </c>
      <c r="AG19">
        <f t="shared" si="5"/>
        <v>0.97146920914349277</v>
      </c>
      <c r="AH19">
        <f t="shared" si="5"/>
        <v>0.97150039579947967</v>
      </c>
      <c r="AI19">
        <f t="shared" si="5"/>
        <v>0.97153371509154818</v>
      </c>
      <c r="AJ19">
        <f t="shared" si="5"/>
        <v>0.97155897342806896</v>
      </c>
      <c r="AK19">
        <f t="shared" si="5"/>
        <v>0.97158742301674572</v>
      </c>
      <c r="AL19">
        <f t="shared" si="5"/>
        <v>0.97160719378447913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59E0B"/>
  </sheetPr>
  <dimension ref="A1:AL24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0" customWidth="1"/>
    <col min="2" max="2" width="8" customWidth="1"/>
    <col min="3" max="38" width="14" customWidth="1"/>
  </cols>
  <sheetData>
    <row r="1" spans="1:38" ht="18" x14ac:dyDescent="0.2">
      <c r="A1" s="1" t="s">
        <v>194</v>
      </c>
    </row>
    <row r="2" spans="1:38" x14ac:dyDescent="0.2">
      <c r="A2" s="2" t="s">
        <v>195</v>
      </c>
    </row>
    <row r="4" spans="1:38" x14ac:dyDescent="0.2">
      <c r="A4" s="19" t="s">
        <v>112</v>
      </c>
      <c r="B4" s="19" t="s">
        <v>113</v>
      </c>
      <c r="C4" s="20" t="s">
        <v>114</v>
      </c>
      <c r="D4" s="20" t="s">
        <v>115</v>
      </c>
      <c r="E4" s="20" t="s">
        <v>116</v>
      </c>
      <c r="F4" s="20" t="s">
        <v>117</v>
      </c>
      <c r="G4" s="20" t="s">
        <v>118</v>
      </c>
      <c r="H4" s="20" t="s">
        <v>119</v>
      </c>
      <c r="I4" s="20" t="s">
        <v>120</v>
      </c>
      <c r="J4" s="20" t="s">
        <v>121</v>
      </c>
      <c r="K4" s="20" t="s">
        <v>122</v>
      </c>
      <c r="L4" s="20" t="s">
        <v>123</v>
      </c>
      <c r="M4" s="20" t="s">
        <v>124</v>
      </c>
      <c r="N4" s="20" t="s">
        <v>125</v>
      </c>
      <c r="O4" s="20" t="s">
        <v>126</v>
      </c>
      <c r="P4" s="20" t="s">
        <v>127</v>
      </c>
      <c r="Q4" s="20" t="s">
        <v>128</v>
      </c>
      <c r="R4" s="20" t="s">
        <v>129</v>
      </c>
      <c r="S4" s="20" t="s">
        <v>130</v>
      </c>
      <c r="T4" s="20" t="s">
        <v>131</v>
      </c>
      <c r="U4" s="20" t="s">
        <v>132</v>
      </c>
      <c r="V4" s="20" t="s">
        <v>133</v>
      </c>
      <c r="W4" s="20" t="s">
        <v>134</v>
      </c>
      <c r="X4" s="20" t="s">
        <v>135</v>
      </c>
      <c r="Y4" s="20" t="s">
        <v>136</v>
      </c>
      <c r="Z4" s="20" t="s">
        <v>137</v>
      </c>
      <c r="AA4" s="20" t="s">
        <v>138</v>
      </c>
      <c r="AB4" s="20" t="s">
        <v>139</v>
      </c>
      <c r="AC4" s="20" t="s">
        <v>140</v>
      </c>
      <c r="AD4" s="20" t="s">
        <v>141</v>
      </c>
      <c r="AE4" s="20" t="s">
        <v>142</v>
      </c>
      <c r="AF4" s="20" t="s">
        <v>143</v>
      </c>
      <c r="AG4" s="20" t="s">
        <v>144</v>
      </c>
      <c r="AH4" s="20" t="s">
        <v>145</v>
      </c>
      <c r="AI4" s="20" t="s">
        <v>146</v>
      </c>
      <c r="AJ4" s="20" t="s">
        <v>147</v>
      </c>
      <c r="AK4" s="20" t="s">
        <v>148</v>
      </c>
      <c r="AL4" s="20" t="s">
        <v>149</v>
      </c>
    </row>
    <row r="5" spans="1:38" x14ac:dyDescent="0.2">
      <c r="A5" s="3" t="s">
        <v>196</v>
      </c>
      <c r="B5" s="4"/>
      <c r="C5" s="4"/>
      <c r="D5" s="4"/>
      <c r="E5" s="4"/>
    </row>
    <row r="6" spans="1:38" x14ac:dyDescent="0.2">
      <c r="A6" s="6" t="s">
        <v>197</v>
      </c>
      <c r="B6" s="6" t="s">
        <v>180</v>
      </c>
      <c r="C6" s="24">
        <f>'User Growth'!C15*Assumptions!$B$34</f>
        <v>1381.2</v>
      </c>
      <c r="D6" s="24">
        <f>'User Growth'!D15*Assumptions!$B$34</f>
        <v>2822.7</v>
      </c>
      <c r="E6" s="24">
        <f>'User Growth'!E15*Assumptions!$B$34</f>
        <v>4327.6499999999996</v>
      </c>
      <c r="F6" s="24">
        <f>'User Growth'!F15*Assumptions!$B$34</f>
        <v>5897.7</v>
      </c>
      <c r="G6" s="24">
        <f>'User Growth'!G15*Assumptions!$B$34</f>
        <v>7534.3499999999995</v>
      </c>
      <c r="H6" s="24">
        <f>'User Growth'!H15*Assumptions!$B$34</f>
        <v>9238.0499999999993</v>
      </c>
      <c r="I6" s="24">
        <f>'User Growth'!I15*Assumptions!$B$34</f>
        <v>11008.8</v>
      </c>
      <c r="J6" s="24">
        <f>'User Growth'!J15*Assumptions!$B$34</f>
        <v>12845.1</v>
      </c>
      <c r="K6" s="24">
        <f>'User Growth'!K15*Assumptions!$B$34</f>
        <v>14745.75</v>
      </c>
      <c r="L6" s="24">
        <f>'User Growth'!L15*Assumptions!$B$34</f>
        <v>16708.2</v>
      </c>
      <c r="M6" s="24">
        <f>'User Growth'!M15*Assumptions!$B$34</f>
        <v>18729.75</v>
      </c>
      <c r="N6" s="24">
        <f>'User Growth'!N15*Assumptions!$B$34</f>
        <v>20807.099999999999</v>
      </c>
      <c r="O6" s="24">
        <f>'User Growth'!O15*Assumptions!$B$34</f>
        <v>22936.5</v>
      </c>
      <c r="P6" s="24">
        <f>'User Growth'!P15*Assumptions!$B$34</f>
        <v>25113.45</v>
      </c>
      <c r="Q6" s="24">
        <f>'User Growth'!Q15*Assumptions!$B$34</f>
        <v>27333.75</v>
      </c>
      <c r="R6" s="24">
        <f>'User Growth'!R15*Assumptions!$B$34</f>
        <v>29592.449999999997</v>
      </c>
      <c r="S6" s="24">
        <f>'User Growth'!S15*Assumptions!$B$34</f>
        <v>31884.3</v>
      </c>
      <c r="T6" s="24">
        <f>'User Growth'!T15*Assumptions!$B$34</f>
        <v>34204.049999999996</v>
      </c>
      <c r="U6" s="24">
        <f>'User Growth'!U15*Assumptions!$B$34</f>
        <v>36546.299999999996</v>
      </c>
      <c r="V6" s="24">
        <f>'User Growth'!V15*Assumptions!$B$34</f>
        <v>38905.65</v>
      </c>
      <c r="W6" s="24">
        <f>'User Growth'!W15*Assumptions!$B$34</f>
        <v>41276.25</v>
      </c>
      <c r="X6" s="24">
        <f>'User Growth'!X15*Assumptions!$B$34</f>
        <v>43652.85</v>
      </c>
      <c r="Y6" s="24">
        <f>'User Growth'!Y15*Assumptions!$B$34</f>
        <v>46029.9</v>
      </c>
      <c r="Z6" s="24">
        <f>'User Growth'!Z15*Assumptions!$B$34</f>
        <v>48401.85</v>
      </c>
      <c r="AA6" s="24">
        <f>'User Growth'!AA15*Assumptions!$B$34</f>
        <v>50763.6</v>
      </c>
      <c r="AB6" s="24">
        <f>'User Growth'!AB15*Assumptions!$B$34</f>
        <v>53109.9</v>
      </c>
      <c r="AC6" s="24">
        <f>'User Growth'!AC15*Assumptions!$B$34</f>
        <v>55436.1</v>
      </c>
      <c r="AD6" s="24">
        <f>'User Growth'!AD15*Assumptions!$B$34</f>
        <v>57737.25</v>
      </c>
      <c r="AE6" s="24">
        <f>'User Growth'!AE15*Assumptions!$B$34</f>
        <v>60008.85</v>
      </c>
      <c r="AF6" s="24">
        <f>'User Growth'!AF15*Assumptions!$B$34</f>
        <v>62246.7</v>
      </c>
      <c r="AG6" s="24">
        <f>'User Growth'!AG15*Assumptions!$B$34</f>
        <v>64446.899999999994</v>
      </c>
      <c r="AH6" s="24">
        <f>'User Growth'!AH15*Assumptions!$B$34</f>
        <v>66605.55</v>
      </c>
      <c r="AI6" s="24">
        <f>'User Growth'!AI15*Assumptions!$B$34</f>
        <v>68719.649999999994</v>
      </c>
      <c r="AJ6" s="24">
        <f>'User Growth'!AJ15*Assumptions!$B$34</f>
        <v>70785.75</v>
      </c>
      <c r="AK6" s="24">
        <f>'User Growth'!AK15*Assumptions!$B$34</f>
        <v>72801.3</v>
      </c>
      <c r="AL6" s="24">
        <f>'User Growth'!AL15*Assumptions!$B$34</f>
        <v>74763.599999999991</v>
      </c>
    </row>
    <row r="7" spans="1:38" x14ac:dyDescent="0.2">
      <c r="A7" s="6" t="s">
        <v>198</v>
      </c>
      <c r="B7" s="6" t="s">
        <v>180</v>
      </c>
      <c r="C7" s="24">
        <f>'User Growth'!C29*Assumptions!$B$33</f>
        <v>862</v>
      </c>
      <c r="D7" s="24">
        <f>'User Growth'!D29*Assumptions!$B$33</f>
        <v>2582</v>
      </c>
      <c r="E7" s="24">
        <f>'User Growth'!E29*Assumptions!$B$33</f>
        <v>5160</v>
      </c>
      <c r="F7" s="24">
        <f>'User Growth'!F29*Assumptions!$B$33</f>
        <v>8598</v>
      </c>
      <c r="G7" s="24">
        <f>'User Growth'!G29*Assumptions!$B$33</f>
        <v>12898</v>
      </c>
      <c r="H7" s="24">
        <f>'User Growth'!H29*Assumptions!$B$33</f>
        <v>18064</v>
      </c>
      <c r="I7" s="24">
        <f>'User Growth'!I29*Assumptions!$B$33</f>
        <v>24096</v>
      </c>
      <c r="J7" s="24">
        <f>'User Growth'!J29*Assumptions!$B$33</f>
        <v>31002</v>
      </c>
      <c r="K7" s="24">
        <f>'User Growth'!K29*Assumptions!$B$33</f>
        <v>38780</v>
      </c>
      <c r="L7" s="24">
        <f>'User Growth'!L29*Assumptions!$B$33</f>
        <v>47430</v>
      </c>
      <c r="M7" s="24">
        <f>'User Growth'!M29*Assumptions!$B$33</f>
        <v>56952</v>
      </c>
      <c r="N7" s="24">
        <f>'User Growth'!N29*Assumptions!$B$33</f>
        <v>67344</v>
      </c>
      <c r="O7" s="24">
        <f>'User Growth'!O29*Assumptions!$B$33</f>
        <v>78598</v>
      </c>
      <c r="P7" s="24">
        <f>'User Growth'!P29*Assumptions!$B$33</f>
        <v>90710</v>
      </c>
      <c r="Q7" s="24">
        <f>'User Growth'!Q29*Assumptions!$B$33</f>
        <v>103666</v>
      </c>
      <c r="R7" s="24">
        <f>'User Growth'!R29*Assumptions!$B$33</f>
        <v>117460</v>
      </c>
      <c r="S7" s="24">
        <f>'User Growth'!S29*Assumptions!$B$33</f>
        <v>132074</v>
      </c>
      <c r="T7" s="24">
        <f>'User Growth'!T29*Assumptions!$B$33</f>
        <v>147490</v>
      </c>
      <c r="U7" s="24">
        <f>'User Growth'!U29*Assumptions!$B$33</f>
        <v>163690</v>
      </c>
      <c r="V7" s="24">
        <f>'User Growth'!V29*Assumptions!$B$33</f>
        <v>180652</v>
      </c>
      <c r="W7" s="24">
        <f>'User Growth'!W29*Assumptions!$B$33</f>
        <v>198354</v>
      </c>
      <c r="X7" s="24">
        <f>'User Growth'!X29*Assumptions!$B$33</f>
        <v>216766</v>
      </c>
      <c r="Y7" s="24">
        <f>'User Growth'!Y29*Assumptions!$B$33</f>
        <v>235862</v>
      </c>
      <c r="Z7" s="24">
        <f>'User Growth'!Z29*Assumptions!$B$33</f>
        <v>255608</v>
      </c>
      <c r="AA7" s="24">
        <f>'User Growth'!AA29*Assumptions!$B$33</f>
        <v>275976</v>
      </c>
      <c r="AB7" s="24">
        <f>'User Growth'!AB29*Assumptions!$B$33</f>
        <v>296928</v>
      </c>
      <c r="AC7" s="24">
        <f>'User Growth'!AC29*Assumptions!$B$33</f>
        <v>318430</v>
      </c>
      <c r="AD7" s="24">
        <f>'User Growth'!AD29*Assumptions!$B$33</f>
        <v>340444</v>
      </c>
      <c r="AE7" s="24">
        <f>'User Growth'!AE29*Assumptions!$B$33</f>
        <v>362936</v>
      </c>
      <c r="AF7" s="24">
        <f>'User Growth'!AF29*Assumptions!$B$33</f>
        <v>385862</v>
      </c>
      <c r="AG7" s="24">
        <f>'User Growth'!AG29*Assumptions!$B$33</f>
        <v>409186</v>
      </c>
      <c r="AH7" s="24">
        <f>'User Growth'!AH29*Assumptions!$B$33</f>
        <v>432868</v>
      </c>
      <c r="AI7" s="24">
        <f>'User Growth'!AI29*Assumptions!$B$33</f>
        <v>456864</v>
      </c>
      <c r="AJ7" s="24">
        <f>'User Growth'!AJ29*Assumptions!$B$33</f>
        <v>481138</v>
      </c>
      <c r="AK7" s="24">
        <f>'User Growth'!AK29*Assumptions!$B$33</f>
        <v>505646</v>
      </c>
      <c r="AL7" s="24">
        <f>'User Growth'!AL29*Assumptions!$B$33</f>
        <v>530350</v>
      </c>
    </row>
    <row r="8" spans="1:38" x14ac:dyDescent="0.2">
      <c r="A8" s="17" t="s">
        <v>199</v>
      </c>
      <c r="B8" s="17" t="s">
        <v>180</v>
      </c>
      <c r="C8" s="25">
        <f t="shared" ref="C8:AL8" si="0">C6+C7</f>
        <v>2243.1999999999998</v>
      </c>
      <c r="D8" s="25">
        <f t="shared" si="0"/>
        <v>5404.7</v>
      </c>
      <c r="E8" s="25">
        <f t="shared" si="0"/>
        <v>9487.65</v>
      </c>
      <c r="F8" s="25">
        <f t="shared" si="0"/>
        <v>14495.7</v>
      </c>
      <c r="G8" s="25">
        <f t="shared" si="0"/>
        <v>20432.349999999999</v>
      </c>
      <c r="H8" s="25">
        <f t="shared" si="0"/>
        <v>27302.05</v>
      </c>
      <c r="I8" s="25">
        <f t="shared" si="0"/>
        <v>35104.800000000003</v>
      </c>
      <c r="J8" s="25">
        <f t="shared" si="0"/>
        <v>43847.1</v>
      </c>
      <c r="K8" s="25">
        <f t="shared" si="0"/>
        <v>53525.75</v>
      </c>
      <c r="L8" s="25">
        <f t="shared" si="0"/>
        <v>64138.2</v>
      </c>
      <c r="M8" s="25">
        <f t="shared" si="0"/>
        <v>75681.75</v>
      </c>
      <c r="N8" s="25">
        <f t="shared" si="0"/>
        <v>88151.1</v>
      </c>
      <c r="O8" s="25">
        <f t="shared" si="0"/>
        <v>101534.5</v>
      </c>
      <c r="P8" s="25">
        <f t="shared" si="0"/>
        <v>115823.45</v>
      </c>
      <c r="Q8" s="25">
        <f t="shared" si="0"/>
        <v>130999.75</v>
      </c>
      <c r="R8" s="25">
        <f t="shared" si="0"/>
        <v>147052.45000000001</v>
      </c>
      <c r="S8" s="25">
        <f t="shared" si="0"/>
        <v>163958.29999999999</v>
      </c>
      <c r="T8" s="25">
        <f t="shared" si="0"/>
        <v>181694.05</v>
      </c>
      <c r="U8" s="25">
        <f t="shared" si="0"/>
        <v>200236.3</v>
      </c>
      <c r="V8" s="25">
        <f t="shared" si="0"/>
        <v>219557.65</v>
      </c>
      <c r="W8" s="25">
        <f t="shared" si="0"/>
        <v>239630.25</v>
      </c>
      <c r="X8" s="25">
        <f t="shared" si="0"/>
        <v>260418.85</v>
      </c>
      <c r="Y8" s="25">
        <f t="shared" si="0"/>
        <v>281891.90000000002</v>
      </c>
      <c r="Z8" s="25">
        <f t="shared" si="0"/>
        <v>304009.84999999998</v>
      </c>
      <c r="AA8" s="25">
        <f t="shared" si="0"/>
        <v>326739.59999999998</v>
      </c>
      <c r="AB8" s="25">
        <f t="shared" si="0"/>
        <v>350037.9</v>
      </c>
      <c r="AC8" s="25">
        <f t="shared" si="0"/>
        <v>373866.1</v>
      </c>
      <c r="AD8" s="25">
        <f t="shared" si="0"/>
        <v>398181.25</v>
      </c>
      <c r="AE8" s="25">
        <f t="shared" si="0"/>
        <v>422944.85</v>
      </c>
      <c r="AF8" s="25">
        <f t="shared" si="0"/>
        <v>448108.7</v>
      </c>
      <c r="AG8" s="25">
        <f t="shared" si="0"/>
        <v>473632.9</v>
      </c>
      <c r="AH8" s="25">
        <f t="shared" si="0"/>
        <v>499473.55</v>
      </c>
      <c r="AI8" s="25">
        <f t="shared" si="0"/>
        <v>525583.65</v>
      </c>
      <c r="AJ8" s="25">
        <f t="shared" si="0"/>
        <v>551923.75</v>
      </c>
      <c r="AK8" s="25">
        <f t="shared" si="0"/>
        <v>578447.30000000005</v>
      </c>
      <c r="AL8" s="25">
        <f t="shared" si="0"/>
        <v>605113.59999999998</v>
      </c>
    </row>
    <row r="9" spans="1:38" x14ac:dyDescent="0.2">
      <c r="A9" s="3" t="s">
        <v>200</v>
      </c>
      <c r="B9" s="4"/>
      <c r="C9" s="4"/>
      <c r="D9" s="4"/>
      <c r="E9" s="4"/>
    </row>
    <row r="10" spans="1:38" x14ac:dyDescent="0.2">
      <c r="A10" s="6" t="s">
        <v>201</v>
      </c>
      <c r="B10" s="6" t="s">
        <v>152</v>
      </c>
      <c r="C10" s="21">
        <f>Assumptions!B48</f>
        <v>9</v>
      </c>
      <c r="D10" s="21">
        <f>Assumptions!B48</f>
        <v>9</v>
      </c>
      <c r="E10" s="21">
        <f>Assumptions!B48</f>
        <v>9</v>
      </c>
      <c r="F10" s="21">
        <f>Assumptions!B48</f>
        <v>9</v>
      </c>
      <c r="G10" s="21">
        <f>Assumptions!B48</f>
        <v>9</v>
      </c>
      <c r="H10" s="21">
        <f>Assumptions!B48</f>
        <v>9</v>
      </c>
      <c r="I10" s="21">
        <f>Assumptions!C48</f>
        <v>12</v>
      </c>
      <c r="J10" s="21">
        <f>Assumptions!C48</f>
        <v>12</v>
      </c>
      <c r="K10" s="21">
        <f>Assumptions!C48</f>
        <v>12</v>
      </c>
      <c r="L10" s="21">
        <f>Assumptions!C48</f>
        <v>12</v>
      </c>
      <c r="M10" s="21">
        <f>Assumptions!C48</f>
        <v>12</v>
      </c>
      <c r="N10" s="21">
        <f>Assumptions!C48</f>
        <v>12</v>
      </c>
      <c r="O10" s="21">
        <f>Assumptions!C48</f>
        <v>12</v>
      </c>
      <c r="P10" s="21">
        <f>Assumptions!C48</f>
        <v>12</v>
      </c>
      <c r="Q10" s="21">
        <f>Assumptions!C48</f>
        <v>12</v>
      </c>
      <c r="R10" s="21">
        <f>Assumptions!C48</f>
        <v>12</v>
      </c>
      <c r="S10" s="21">
        <f>Assumptions!C48</f>
        <v>12</v>
      </c>
      <c r="T10" s="21">
        <f>Assumptions!C48</f>
        <v>12</v>
      </c>
      <c r="U10" s="21">
        <f>Assumptions!D48</f>
        <v>25</v>
      </c>
      <c r="V10" s="21">
        <f>Assumptions!D48</f>
        <v>25</v>
      </c>
      <c r="W10" s="21">
        <f>Assumptions!D48</f>
        <v>25</v>
      </c>
      <c r="X10" s="21">
        <f>Assumptions!D48</f>
        <v>25</v>
      </c>
      <c r="Y10" s="21">
        <f>Assumptions!D48</f>
        <v>25</v>
      </c>
      <c r="Z10" s="21">
        <f>Assumptions!D48</f>
        <v>25</v>
      </c>
      <c r="AA10" s="21">
        <f>Assumptions!D48</f>
        <v>25</v>
      </c>
      <c r="AB10" s="21">
        <f>Assumptions!D48</f>
        <v>25</v>
      </c>
      <c r="AC10" s="21">
        <f>Assumptions!D48</f>
        <v>25</v>
      </c>
      <c r="AD10" s="21">
        <f>Assumptions!D48</f>
        <v>25</v>
      </c>
      <c r="AE10" s="21">
        <f>Assumptions!D48</f>
        <v>25</v>
      </c>
      <c r="AF10" s="21">
        <f>Assumptions!D48</f>
        <v>25</v>
      </c>
      <c r="AG10" s="21">
        <f>Assumptions!D48</f>
        <v>25</v>
      </c>
      <c r="AH10" s="21">
        <f>Assumptions!D48</f>
        <v>25</v>
      </c>
      <c r="AI10" s="21">
        <f>Assumptions!D48</f>
        <v>25</v>
      </c>
      <c r="AJ10" s="21">
        <f>Assumptions!D48</f>
        <v>25</v>
      </c>
      <c r="AK10" s="21">
        <f>Assumptions!D48</f>
        <v>25</v>
      </c>
      <c r="AL10" s="21">
        <f>Assumptions!D48</f>
        <v>25</v>
      </c>
    </row>
    <row r="11" spans="1:38" x14ac:dyDescent="0.2">
      <c r="A11" s="17" t="s">
        <v>202</v>
      </c>
      <c r="B11" s="17" t="s">
        <v>180</v>
      </c>
      <c r="C11" s="25">
        <f>C10*Assumptions!$B$49/12</f>
        <v>112500</v>
      </c>
      <c r="D11" s="25">
        <f>D10*Assumptions!$B$49/12</f>
        <v>112500</v>
      </c>
      <c r="E11" s="25">
        <f>E10*Assumptions!$B$49/12</f>
        <v>112500</v>
      </c>
      <c r="F11" s="25">
        <f>F10*Assumptions!$B$49/12</f>
        <v>112500</v>
      </c>
      <c r="G11" s="25">
        <f>G10*Assumptions!$B$49/12</f>
        <v>112500</v>
      </c>
      <c r="H11" s="25">
        <f>H10*Assumptions!$B$49/12</f>
        <v>112500</v>
      </c>
      <c r="I11" s="25">
        <f>I10*Assumptions!$B$49/12</f>
        <v>150000</v>
      </c>
      <c r="J11" s="25">
        <f>J10*Assumptions!$B$49/12</f>
        <v>150000</v>
      </c>
      <c r="K11" s="25">
        <f>K10*Assumptions!$B$49/12</f>
        <v>150000</v>
      </c>
      <c r="L11" s="25">
        <f>L10*Assumptions!$B$49/12</f>
        <v>150000</v>
      </c>
      <c r="M11" s="25">
        <f>M10*Assumptions!$B$49/12</f>
        <v>150000</v>
      </c>
      <c r="N11" s="25">
        <f>N10*Assumptions!$B$49/12</f>
        <v>150000</v>
      </c>
      <c r="O11" s="25">
        <f>O10*Assumptions!$B$49/12</f>
        <v>150000</v>
      </c>
      <c r="P11" s="25">
        <f>P10*Assumptions!$B$49/12</f>
        <v>150000</v>
      </c>
      <c r="Q11" s="25">
        <f>Q10*Assumptions!$B$49/12</f>
        <v>150000</v>
      </c>
      <c r="R11" s="25">
        <f>R10*Assumptions!$B$49/12</f>
        <v>150000</v>
      </c>
      <c r="S11" s="25">
        <f>S10*Assumptions!$B$49/12</f>
        <v>150000</v>
      </c>
      <c r="T11" s="25">
        <f>T10*Assumptions!$B$49/12</f>
        <v>150000</v>
      </c>
      <c r="U11" s="25">
        <f>U10*Assumptions!$B$49/12</f>
        <v>312500</v>
      </c>
      <c r="V11" s="25">
        <f>V10*Assumptions!$B$49/12</f>
        <v>312500</v>
      </c>
      <c r="W11" s="25">
        <f>W10*Assumptions!$B$49/12</f>
        <v>312500</v>
      </c>
      <c r="X11" s="25">
        <f>X10*Assumptions!$B$49/12</f>
        <v>312500</v>
      </c>
      <c r="Y11" s="25">
        <f>Y10*Assumptions!$B$49/12</f>
        <v>312500</v>
      </c>
      <c r="Z11" s="25">
        <f>Z10*Assumptions!$B$49/12</f>
        <v>312500</v>
      </c>
      <c r="AA11" s="25">
        <f>AA10*Assumptions!$B$49/12</f>
        <v>312500</v>
      </c>
      <c r="AB11" s="25">
        <f>AB10*Assumptions!$B$49/12</f>
        <v>312500</v>
      </c>
      <c r="AC11" s="25">
        <f>AC10*Assumptions!$B$49/12</f>
        <v>312500</v>
      </c>
      <c r="AD11" s="25">
        <f>AD10*Assumptions!$B$49/12</f>
        <v>312500</v>
      </c>
      <c r="AE11" s="25">
        <f>AE10*Assumptions!$B$49/12</f>
        <v>312500</v>
      </c>
      <c r="AF11" s="25">
        <f>AF10*Assumptions!$B$49/12</f>
        <v>312500</v>
      </c>
      <c r="AG11" s="25">
        <f>AG10*Assumptions!$B$49/12</f>
        <v>312500</v>
      </c>
      <c r="AH11" s="25">
        <f>AH10*Assumptions!$B$49/12</f>
        <v>312500</v>
      </c>
      <c r="AI11" s="25">
        <f>AI10*Assumptions!$B$49/12</f>
        <v>312500</v>
      </c>
      <c r="AJ11" s="25">
        <f>AJ10*Assumptions!$B$49/12</f>
        <v>312500</v>
      </c>
      <c r="AK11" s="25">
        <f>AK10*Assumptions!$B$49/12</f>
        <v>312500</v>
      </c>
      <c r="AL11" s="25">
        <f>AL10*Assumptions!$B$49/12</f>
        <v>312500</v>
      </c>
    </row>
    <row r="12" spans="1:38" x14ac:dyDescent="0.2">
      <c r="A12" s="3" t="s">
        <v>203</v>
      </c>
      <c r="B12" s="4"/>
      <c r="C12" s="4"/>
      <c r="D12" s="4"/>
      <c r="E12" s="4"/>
    </row>
    <row r="13" spans="1:38" x14ac:dyDescent="0.2">
      <c r="A13" s="6" t="s">
        <v>204</v>
      </c>
      <c r="B13" s="6" t="s">
        <v>180</v>
      </c>
      <c r="C13" s="24">
        <f>Assumptions!$B$59+'User Growth'!C28*Assumptions!$B$66</f>
        <v>10192.780000000001</v>
      </c>
      <c r="D13" s="24">
        <f>Assumptions!$B$59+'User Growth'!D28*Assumptions!$B$66</f>
        <v>10402.18</v>
      </c>
      <c r="E13" s="24">
        <f>Assumptions!$B$59+'User Growth'!E28*Assumptions!$B$66</f>
        <v>10628.62</v>
      </c>
      <c r="F13" s="24">
        <f>Assumptions!$B$59+'User Growth'!F28*Assumptions!$B$66</f>
        <v>10872.34</v>
      </c>
      <c r="G13" s="24">
        <f>Assumptions!$B$59+'User Growth'!G28*Assumptions!$B$66</f>
        <v>11133.56</v>
      </c>
      <c r="H13" s="24">
        <f>Assumptions!$B$59+'User Growth'!H28*Assumptions!$B$66</f>
        <v>11412.380000000001</v>
      </c>
      <c r="I13" s="24">
        <f>Assumptions!$B$59+'User Growth'!I28*Assumptions!$B$66</f>
        <v>11708.8</v>
      </c>
      <c r="J13" s="24">
        <f>Assumptions!$B$59+'User Growth'!J28*Assumptions!$B$66</f>
        <v>12022.7</v>
      </c>
      <c r="K13" s="24">
        <f>Assumptions!$B$59+'User Growth'!K28*Assumptions!$B$66</f>
        <v>12353.9</v>
      </c>
      <c r="L13" s="24">
        <f>Assumptions!$B$59+'User Growth'!L28*Assumptions!$B$66</f>
        <v>12702.06</v>
      </c>
      <c r="M13" s="24">
        <f>Assumptions!$B$59+'User Growth'!M28*Assumptions!$B$66</f>
        <v>13066.82</v>
      </c>
      <c r="N13" s="24">
        <f>Assumptions!$B$59+'User Growth'!N28*Assumptions!$B$66</f>
        <v>13447.720000000001</v>
      </c>
      <c r="O13" s="24">
        <f>Assumptions!$B$59+'User Growth'!O28*Assumptions!$B$66</f>
        <v>13844.18</v>
      </c>
      <c r="P13" s="24">
        <f>Assumptions!$B$59+'User Growth'!P28*Assumptions!$B$66</f>
        <v>14255.560000000001</v>
      </c>
      <c r="Q13" s="24">
        <f>Assumptions!$B$59+'User Growth'!Q28*Assumptions!$B$66</f>
        <v>14681.16</v>
      </c>
      <c r="R13" s="24">
        <f>Assumptions!$B$59+'User Growth'!R28*Assumptions!$B$66</f>
        <v>15120.26</v>
      </c>
      <c r="S13" s="24">
        <f>Assumptions!$B$59+'User Growth'!S28*Assumptions!$B$66</f>
        <v>15571.98</v>
      </c>
      <c r="T13" s="24">
        <f>Assumptions!$B$59+'User Growth'!T28*Assumptions!$B$66</f>
        <v>16035.44</v>
      </c>
      <c r="U13" s="24">
        <f>Assumptions!$B$59+'User Growth'!U28*Assumptions!$B$66</f>
        <v>16509.739999999998</v>
      </c>
      <c r="V13" s="24">
        <f>Assumptions!$B$59+'User Growth'!V28*Assumptions!$B$66</f>
        <v>16993.940000000002</v>
      </c>
      <c r="W13" s="24">
        <f>Assumptions!$B$59+'User Growth'!W28*Assumptions!$B$66</f>
        <v>17487.04</v>
      </c>
      <c r="X13" s="24">
        <f>Assumptions!$B$59+'User Growth'!X28*Assumptions!$B$66</f>
        <v>17988.04</v>
      </c>
      <c r="Y13" s="24">
        <f>Assumptions!$B$59+'User Growth'!Y28*Assumptions!$B$66</f>
        <v>18495.940000000002</v>
      </c>
      <c r="Z13" s="24">
        <f>Assumptions!$B$59+'User Growth'!Z28*Assumptions!$B$66</f>
        <v>19009.66</v>
      </c>
      <c r="AA13" s="24">
        <f>Assumptions!$B$59+'User Growth'!AA28*Assumptions!$B$66</f>
        <v>19528.239999999998</v>
      </c>
      <c r="AB13" s="24">
        <f>Assumptions!$B$59+'User Growth'!AB28*Assumptions!$B$66</f>
        <v>20050.599999999999</v>
      </c>
      <c r="AC13" s="24">
        <f>Assumptions!$B$59+'User Growth'!AC28*Assumptions!$B$66</f>
        <v>20575.78</v>
      </c>
      <c r="AD13" s="24">
        <f>Assumptions!$B$59+'User Growth'!AD28*Assumptions!$B$66</f>
        <v>21102.739999999998</v>
      </c>
      <c r="AE13" s="24">
        <f>Assumptions!$B$59+'User Growth'!AE28*Assumptions!$B$66</f>
        <v>21630.54</v>
      </c>
      <c r="AF13" s="24">
        <f>Assumptions!$B$59+'User Growth'!AF28*Assumptions!$B$66</f>
        <v>22158.18</v>
      </c>
      <c r="AG13" s="24">
        <f>Assumptions!$B$59+'User Growth'!AG28*Assumptions!$B$66</f>
        <v>22684.78</v>
      </c>
      <c r="AH13" s="24">
        <f>Assumptions!$B$59+'User Growth'!AH28*Assumptions!$B$66</f>
        <v>23209.42</v>
      </c>
      <c r="AI13" s="24">
        <f>Assumptions!$B$59+'User Growth'!AI28*Assumptions!$B$66</f>
        <v>23731.260000000002</v>
      </c>
      <c r="AJ13" s="24">
        <f>Assumptions!$B$59+'User Growth'!AJ28*Assumptions!$B$66</f>
        <v>24249.48</v>
      </c>
      <c r="AK13" s="24">
        <f>Assumptions!$B$59+'User Growth'!AK28*Assumptions!$B$66</f>
        <v>24763.300000000003</v>
      </c>
      <c r="AL13" s="24">
        <f>Assumptions!$B$59+'User Growth'!AL28*Assumptions!$B$66</f>
        <v>25271.98</v>
      </c>
    </row>
    <row r="14" spans="1:38" x14ac:dyDescent="0.2">
      <c r="A14" s="6" t="s">
        <v>205</v>
      </c>
      <c r="B14" s="6" t="s">
        <v>180</v>
      </c>
      <c r="C14" s="24">
        <f>Assumptions!$B$60+'User Growth'!C28*Assumptions!$B$67</f>
        <v>5096.3900000000003</v>
      </c>
      <c r="D14" s="24">
        <f>Assumptions!$B$60+'User Growth'!D28*Assumptions!$B$67</f>
        <v>5201.09</v>
      </c>
      <c r="E14" s="24">
        <f>Assumptions!$B$60+'User Growth'!E28*Assumptions!$B$67</f>
        <v>5314.31</v>
      </c>
      <c r="F14" s="24">
        <f>Assumptions!$B$60+'User Growth'!F28*Assumptions!$B$67</f>
        <v>5436.17</v>
      </c>
      <c r="G14" s="24">
        <f>Assumptions!$B$60+'User Growth'!G28*Assumptions!$B$67</f>
        <v>5566.78</v>
      </c>
      <c r="H14" s="24">
        <f>Assumptions!$B$60+'User Growth'!H28*Assumptions!$B$67</f>
        <v>5706.1900000000005</v>
      </c>
      <c r="I14" s="24">
        <f>Assumptions!$B$60+'User Growth'!I28*Assumptions!$B$67</f>
        <v>5854.4</v>
      </c>
      <c r="J14" s="24">
        <f>Assumptions!$B$60+'User Growth'!J28*Assumptions!$B$67</f>
        <v>6011.35</v>
      </c>
      <c r="K14" s="24">
        <f>Assumptions!$B$60+'User Growth'!K28*Assumptions!$B$67</f>
        <v>6176.95</v>
      </c>
      <c r="L14" s="24">
        <f>Assumptions!$B$60+'User Growth'!L28*Assumptions!$B$67</f>
        <v>6351.03</v>
      </c>
      <c r="M14" s="24">
        <f>Assumptions!$B$60+'User Growth'!M28*Assumptions!$B$67</f>
        <v>6533.41</v>
      </c>
      <c r="N14" s="24">
        <f>Assumptions!$B$60+'User Growth'!N28*Assumptions!$B$67</f>
        <v>6723.8600000000006</v>
      </c>
      <c r="O14" s="24">
        <f>Assumptions!$B$60+'User Growth'!O28*Assumptions!$B$67</f>
        <v>6922.09</v>
      </c>
      <c r="P14" s="24">
        <f>Assumptions!$B$60+'User Growth'!P28*Assumptions!$B$67</f>
        <v>7127.7800000000007</v>
      </c>
      <c r="Q14" s="24">
        <f>Assumptions!$B$60+'User Growth'!Q28*Assumptions!$B$67</f>
        <v>7340.58</v>
      </c>
      <c r="R14" s="24">
        <f>Assumptions!$B$60+'User Growth'!R28*Assumptions!$B$67</f>
        <v>7560.13</v>
      </c>
      <c r="S14" s="24">
        <f>Assumptions!$B$60+'User Growth'!S28*Assumptions!$B$67</f>
        <v>7785.99</v>
      </c>
      <c r="T14" s="24">
        <f>Assumptions!$B$60+'User Growth'!T28*Assumptions!$B$67</f>
        <v>8017.72</v>
      </c>
      <c r="U14" s="24">
        <f>Assumptions!$B$60+'User Growth'!U28*Assumptions!$B$67</f>
        <v>8254.869999999999</v>
      </c>
      <c r="V14" s="24">
        <f>Assumptions!$B$60+'User Growth'!V28*Assumptions!$B$67</f>
        <v>8496.9700000000012</v>
      </c>
      <c r="W14" s="24">
        <f>Assumptions!$B$60+'User Growth'!W28*Assumptions!$B$67</f>
        <v>8743.52</v>
      </c>
      <c r="X14" s="24">
        <f>Assumptions!$B$60+'User Growth'!X28*Assumptions!$B$67</f>
        <v>8994.02</v>
      </c>
      <c r="Y14" s="24">
        <f>Assumptions!$B$60+'User Growth'!Y28*Assumptions!$B$67</f>
        <v>9247.9700000000012</v>
      </c>
      <c r="Z14" s="24">
        <f>Assumptions!$B$60+'User Growth'!Z28*Assumptions!$B$67</f>
        <v>9504.83</v>
      </c>
      <c r="AA14" s="24">
        <f>Assumptions!$B$60+'User Growth'!AA28*Assumptions!$B$67</f>
        <v>9764.119999999999</v>
      </c>
      <c r="AB14" s="24">
        <f>Assumptions!$B$60+'User Growth'!AB28*Assumptions!$B$67</f>
        <v>10025.299999999999</v>
      </c>
      <c r="AC14" s="24">
        <f>Assumptions!$B$60+'User Growth'!AC28*Assumptions!$B$67</f>
        <v>10287.89</v>
      </c>
      <c r="AD14" s="24">
        <f>Assumptions!$B$60+'User Growth'!AD28*Assumptions!$B$67</f>
        <v>10551.369999999999</v>
      </c>
      <c r="AE14" s="24">
        <f>Assumptions!$B$60+'User Growth'!AE28*Assumptions!$B$67</f>
        <v>10815.27</v>
      </c>
      <c r="AF14" s="24">
        <f>Assumptions!$B$60+'User Growth'!AF28*Assumptions!$B$67</f>
        <v>11079.09</v>
      </c>
      <c r="AG14" s="24">
        <f>Assumptions!$B$60+'User Growth'!AG28*Assumptions!$B$67</f>
        <v>11342.39</v>
      </c>
      <c r="AH14" s="24">
        <f>Assumptions!$B$60+'User Growth'!AH28*Assumptions!$B$67</f>
        <v>11604.71</v>
      </c>
      <c r="AI14" s="24">
        <f>Assumptions!$B$60+'User Growth'!AI28*Assumptions!$B$67</f>
        <v>11865.630000000001</v>
      </c>
      <c r="AJ14" s="24">
        <f>Assumptions!$B$60+'User Growth'!AJ28*Assumptions!$B$67</f>
        <v>12124.74</v>
      </c>
      <c r="AK14" s="24">
        <f>Assumptions!$B$60+'User Growth'!AK28*Assumptions!$B$67</f>
        <v>12381.650000000001</v>
      </c>
      <c r="AL14" s="24">
        <f>Assumptions!$B$60+'User Growth'!AL28*Assumptions!$B$67</f>
        <v>12635.99</v>
      </c>
    </row>
    <row r="15" spans="1:38" x14ac:dyDescent="0.2">
      <c r="A15" s="6" t="s">
        <v>206</v>
      </c>
      <c r="B15" s="6" t="s">
        <v>180</v>
      </c>
      <c r="C15" s="24">
        <f>Assumptions!$B$61</f>
        <v>4000</v>
      </c>
      <c r="D15" s="24">
        <f>Assumptions!$B$61</f>
        <v>4000</v>
      </c>
      <c r="E15" s="24">
        <f>Assumptions!$B$61</f>
        <v>4000</v>
      </c>
      <c r="F15" s="24">
        <f>Assumptions!$B$61</f>
        <v>4000</v>
      </c>
      <c r="G15" s="24">
        <f>Assumptions!$B$61</f>
        <v>4000</v>
      </c>
      <c r="H15" s="24">
        <f>Assumptions!$B$61</f>
        <v>4000</v>
      </c>
      <c r="I15" s="24">
        <f>Assumptions!$B$61</f>
        <v>4000</v>
      </c>
      <c r="J15" s="24">
        <f>Assumptions!$B$61</f>
        <v>4000</v>
      </c>
      <c r="K15" s="24">
        <f>Assumptions!$B$61</f>
        <v>4000</v>
      </c>
      <c r="L15" s="24">
        <f>Assumptions!$B$61</f>
        <v>4000</v>
      </c>
      <c r="M15" s="24">
        <f>Assumptions!$B$61</f>
        <v>4000</v>
      </c>
      <c r="N15" s="24">
        <f>Assumptions!$B$61</f>
        <v>4000</v>
      </c>
      <c r="O15" s="24">
        <f>Assumptions!$B$61</f>
        <v>4000</v>
      </c>
      <c r="P15" s="24">
        <f>Assumptions!$B$61</f>
        <v>4000</v>
      </c>
      <c r="Q15" s="24">
        <f>Assumptions!$B$61</f>
        <v>4000</v>
      </c>
      <c r="R15" s="24">
        <f>Assumptions!$B$61</f>
        <v>4000</v>
      </c>
      <c r="S15" s="24">
        <f>Assumptions!$B$61</f>
        <v>4000</v>
      </c>
      <c r="T15" s="24">
        <f>Assumptions!$B$61</f>
        <v>4000</v>
      </c>
      <c r="U15" s="24">
        <f>Assumptions!$B$61</f>
        <v>4000</v>
      </c>
      <c r="V15" s="24">
        <f>Assumptions!$B$61</f>
        <v>4000</v>
      </c>
      <c r="W15" s="24">
        <f>Assumptions!$B$61</f>
        <v>4000</v>
      </c>
      <c r="X15" s="24">
        <f>Assumptions!$B$61</f>
        <v>4000</v>
      </c>
      <c r="Y15" s="24">
        <f>Assumptions!$B$61</f>
        <v>4000</v>
      </c>
      <c r="Z15" s="24">
        <f>Assumptions!$B$61</f>
        <v>4000</v>
      </c>
      <c r="AA15" s="24">
        <f>Assumptions!$B$61</f>
        <v>4000</v>
      </c>
      <c r="AB15" s="24">
        <f>Assumptions!$B$61</f>
        <v>4000</v>
      </c>
      <c r="AC15" s="24">
        <f>Assumptions!$B$61</f>
        <v>4000</v>
      </c>
      <c r="AD15" s="24">
        <f>Assumptions!$B$61</f>
        <v>4000</v>
      </c>
      <c r="AE15" s="24">
        <f>Assumptions!$B$61</f>
        <v>4000</v>
      </c>
      <c r="AF15" s="24">
        <f>Assumptions!$B$61</f>
        <v>4000</v>
      </c>
      <c r="AG15" s="24">
        <f>Assumptions!$B$61</f>
        <v>4000</v>
      </c>
      <c r="AH15" s="24">
        <f>Assumptions!$B$61</f>
        <v>4000</v>
      </c>
      <c r="AI15" s="24">
        <f>Assumptions!$B$61</f>
        <v>4000</v>
      </c>
      <c r="AJ15" s="24">
        <f>Assumptions!$B$61</f>
        <v>4000</v>
      </c>
      <c r="AK15" s="24">
        <f>Assumptions!$B$61</f>
        <v>4000</v>
      </c>
      <c r="AL15" s="24">
        <f>Assumptions!$B$61</f>
        <v>4000</v>
      </c>
    </row>
    <row r="16" spans="1:38" x14ac:dyDescent="0.2">
      <c r="A16" s="6" t="s">
        <v>66</v>
      </c>
      <c r="B16" s="6" t="s">
        <v>180</v>
      </c>
      <c r="C16" s="24">
        <f>MAX(5000, Revenue!C16*Assumptions!$B$62)</f>
        <v>5000</v>
      </c>
      <c r="D16" s="24">
        <f>MAX(5000, Revenue!D16*Assumptions!$B$62)</f>
        <v>5000</v>
      </c>
      <c r="E16" s="24">
        <f>MAX(5000, Revenue!E16*Assumptions!$B$62)</f>
        <v>6363.5715</v>
      </c>
      <c r="F16" s="24">
        <f>MAX(5000, Revenue!F16*Assumptions!$B$62)</f>
        <v>10675.704825000001</v>
      </c>
      <c r="G16" s="24">
        <f>MAX(5000, Revenue!G16*Assumptions!$B$62)</f>
        <v>16117.716075</v>
      </c>
      <c r="H16" s="24">
        <f>MAX(5000, Revenue!H16*Assumptions!$B$62)</f>
        <v>22712.850599999998</v>
      </c>
      <c r="I16" s="24">
        <f>MAX(5000, Revenue!I16*Assumptions!$B$62)</f>
        <v>30480.638399999996</v>
      </c>
      <c r="J16" s="24">
        <f>MAX(5000, Revenue!J16*Assumptions!$B$62)</f>
        <v>39445.250175000001</v>
      </c>
      <c r="K16" s="24">
        <f>MAX(5000, Revenue!K16*Assumptions!$B$62)</f>
        <v>49621.568249999997</v>
      </c>
      <c r="L16" s="24">
        <f>MAX(5000, Revenue!L16*Assumptions!$B$62)</f>
        <v>61023.542625000002</v>
      </c>
      <c r="M16" s="24">
        <f>MAX(5000, Revenue!M16*Assumptions!$B$62)</f>
        <v>73665.123300000007</v>
      </c>
      <c r="N16" s="24">
        <f>MAX(5000, Revenue!N16*Assumptions!$B$62)</f>
        <v>87555.612599999993</v>
      </c>
      <c r="O16" s="24">
        <f>MAX(5000, Revenue!O16*Assumptions!$B$62)</f>
        <v>102701.52982500001</v>
      </c>
      <c r="P16" s="24">
        <f>MAX(5000, Revenue!P16*Assumptions!$B$62)</f>
        <v>119107.529625</v>
      </c>
      <c r="Q16" s="24">
        <f>MAX(5000, Revenue!Q16*Assumptions!$B$62)</f>
        <v>136766.18827499999</v>
      </c>
      <c r="R16" s="24">
        <f>MAX(5000, Revenue!R16*Assumptions!$B$62)</f>
        <v>155683.09274999998</v>
      </c>
      <c r="S16" s="24">
        <f>MAX(5000, Revenue!S16*Assumptions!$B$62)</f>
        <v>175841.52397499999</v>
      </c>
      <c r="T16" s="24">
        <f>MAX(5000, Revenue!T16*Assumptions!$B$62)</f>
        <v>197230.342875</v>
      </c>
      <c r="U16" s="24">
        <f>MAX(5000, Revenue!U16*Assumptions!$B$62)</f>
        <v>219835.620375</v>
      </c>
      <c r="V16" s="24">
        <f>MAX(5000, Revenue!V16*Assumptions!$B$62)</f>
        <v>243634.13204999999</v>
      </c>
      <c r="W16" s="24">
        <f>MAX(5000, Revenue!W16*Assumptions!$B$62)</f>
        <v>268608.23347499996</v>
      </c>
      <c r="X16" s="24">
        <f>MAX(5000, Revenue!X16*Assumptions!$B$62)</f>
        <v>294724.47952499997</v>
      </c>
      <c r="Y16" s="24">
        <f>MAX(5000, Revenue!Y16*Assumptions!$B$62)</f>
        <v>321953.14042499999</v>
      </c>
      <c r="Z16" s="24">
        <f>MAX(5000, Revenue!Z16*Assumptions!$B$62)</f>
        <v>350257.05569999997</v>
      </c>
      <c r="AA16" s="24">
        <f>MAX(5000, Revenue!AA16*Assumptions!$B$62)</f>
        <v>379604.63789999997</v>
      </c>
      <c r="AB16" s="24">
        <f>MAX(5000, Revenue!AB16*Assumptions!$B$62)</f>
        <v>409952.22119999997</v>
      </c>
      <c r="AC16" s="24">
        <f>MAX(5000, Revenue!AC16*Assumptions!$B$62)</f>
        <v>441254.27512499999</v>
      </c>
      <c r="AD16" s="24">
        <f>MAX(5000, Revenue!AD16*Assumptions!$B$62)</f>
        <v>473467.13384999998</v>
      </c>
      <c r="AE16" s="24">
        <f>MAX(5000, Revenue!AE16*Assumptions!$B$62)</f>
        <v>506545.26689999993</v>
      </c>
      <c r="AF16" s="24">
        <f>MAX(5000, Revenue!AF16*Assumptions!$B$62)</f>
        <v>540431.06542499992</v>
      </c>
      <c r="AG16" s="24">
        <f>MAX(5000, Revenue!AG16*Assumptions!$B$62)</f>
        <v>575079.93127499998</v>
      </c>
      <c r="AH16" s="24">
        <f>MAX(5000, Revenue!AH16*Assumptions!$B$62)</f>
        <v>610437.97094999999</v>
      </c>
      <c r="AI16" s="24">
        <f>MAX(5000, Revenue!AI16*Assumptions!$B$62)</f>
        <v>646447.57559999998</v>
      </c>
      <c r="AJ16" s="24">
        <f>MAX(5000, Revenue!AJ16*Assumptions!$B$62)</f>
        <v>683055.77707499987</v>
      </c>
      <c r="AK16" s="24">
        <f>MAX(5000, Revenue!AK16*Assumptions!$B$62)</f>
        <v>720204.96652499994</v>
      </c>
      <c r="AL16" s="24">
        <f>MAX(5000, Revenue!AL16*Assumptions!$B$62)</f>
        <v>757840.31812499999</v>
      </c>
    </row>
    <row r="17" spans="1:38" x14ac:dyDescent="0.2">
      <c r="A17" s="6" t="s">
        <v>207</v>
      </c>
      <c r="B17" s="6" t="s">
        <v>180</v>
      </c>
      <c r="C17" s="24">
        <f>Assumptions!$B$63</f>
        <v>0</v>
      </c>
      <c r="D17" s="24">
        <f>Assumptions!$B$63</f>
        <v>0</v>
      </c>
      <c r="E17" s="24">
        <f>Assumptions!$B$63</f>
        <v>0</v>
      </c>
      <c r="F17" s="24">
        <f>Assumptions!$B$63</f>
        <v>0</v>
      </c>
      <c r="G17" s="24">
        <f>Assumptions!$B$63</f>
        <v>0</v>
      </c>
      <c r="H17" s="24">
        <f>Assumptions!$B$63</f>
        <v>0</v>
      </c>
      <c r="I17" s="24">
        <f>Assumptions!$B$63</f>
        <v>0</v>
      </c>
      <c r="J17" s="24">
        <f>Assumptions!$B$63</f>
        <v>0</v>
      </c>
      <c r="K17" s="24">
        <f>Assumptions!$B$63</f>
        <v>0</v>
      </c>
      <c r="L17" s="24">
        <f>Assumptions!$B$63</f>
        <v>0</v>
      </c>
      <c r="M17" s="24">
        <f>Assumptions!$B$63</f>
        <v>0</v>
      </c>
      <c r="N17" s="24">
        <f>Assumptions!$B$63</f>
        <v>0</v>
      </c>
      <c r="O17" s="24">
        <f>Assumptions!$B$63</f>
        <v>0</v>
      </c>
      <c r="P17" s="24">
        <f>Assumptions!$B$63</f>
        <v>0</v>
      </c>
      <c r="Q17" s="24">
        <f>Assumptions!$B$63</f>
        <v>0</v>
      </c>
      <c r="R17" s="24">
        <f>Assumptions!$B$63</f>
        <v>0</v>
      </c>
      <c r="S17" s="24">
        <f>Assumptions!$B$63</f>
        <v>0</v>
      </c>
      <c r="T17" s="24">
        <f>Assumptions!$B$63</f>
        <v>0</v>
      </c>
      <c r="U17" s="24">
        <f>Assumptions!$B$63</f>
        <v>0</v>
      </c>
      <c r="V17" s="24">
        <f>Assumptions!$B$63</f>
        <v>0</v>
      </c>
      <c r="W17" s="24">
        <f>Assumptions!$B$63</f>
        <v>0</v>
      </c>
      <c r="X17" s="24">
        <f>Assumptions!$B$63</f>
        <v>0</v>
      </c>
      <c r="Y17" s="24">
        <f>Assumptions!$B$63</f>
        <v>0</v>
      </c>
      <c r="Z17" s="24">
        <f>Assumptions!$B$63</f>
        <v>0</v>
      </c>
      <c r="AA17" s="24">
        <f>Assumptions!$B$63</f>
        <v>0</v>
      </c>
      <c r="AB17" s="24">
        <f>Assumptions!$B$63</f>
        <v>0</v>
      </c>
      <c r="AC17" s="24">
        <f>Assumptions!$B$63</f>
        <v>0</v>
      </c>
      <c r="AD17" s="24">
        <f>Assumptions!$B$63</f>
        <v>0</v>
      </c>
      <c r="AE17" s="24">
        <f>Assumptions!$B$63</f>
        <v>0</v>
      </c>
      <c r="AF17" s="24">
        <f>Assumptions!$B$63</f>
        <v>0</v>
      </c>
      <c r="AG17" s="24">
        <f>Assumptions!$B$63</f>
        <v>0</v>
      </c>
      <c r="AH17" s="24">
        <f>Assumptions!$B$63</f>
        <v>0</v>
      </c>
      <c r="AI17" s="24">
        <f>Assumptions!$B$63</f>
        <v>0</v>
      </c>
      <c r="AJ17" s="24">
        <f>Assumptions!$B$63</f>
        <v>0</v>
      </c>
      <c r="AK17" s="24">
        <f>Assumptions!$B$63</f>
        <v>0</v>
      </c>
      <c r="AL17" s="24">
        <f>Assumptions!$B$63</f>
        <v>0</v>
      </c>
    </row>
    <row r="18" spans="1:38" x14ac:dyDescent="0.2">
      <c r="A18" s="17" t="s">
        <v>208</v>
      </c>
      <c r="B18" s="17" t="s">
        <v>180</v>
      </c>
      <c r="C18" s="25">
        <f t="shared" ref="C18:AL18" si="1">C11+C13+C14+C15+C16+C17</f>
        <v>136789.16999999998</v>
      </c>
      <c r="D18" s="25">
        <f t="shared" si="1"/>
        <v>137103.26999999999</v>
      </c>
      <c r="E18" s="25">
        <f t="shared" si="1"/>
        <v>138806.50149999998</v>
      </c>
      <c r="F18" s="25">
        <f t="shared" si="1"/>
        <v>143484.214825</v>
      </c>
      <c r="G18" s="25">
        <f t="shared" si="1"/>
        <v>149318.056075</v>
      </c>
      <c r="H18" s="25">
        <f t="shared" si="1"/>
        <v>156331.42060000001</v>
      </c>
      <c r="I18" s="25">
        <f t="shared" si="1"/>
        <v>202043.83839999998</v>
      </c>
      <c r="J18" s="25">
        <f t="shared" si="1"/>
        <v>211479.30017500001</v>
      </c>
      <c r="K18" s="25">
        <f t="shared" si="1"/>
        <v>222152.41824999999</v>
      </c>
      <c r="L18" s="25">
        <f t="shared" si="1"/>
        <v>234076.632625</v>
      </c>
      <c r="M18" s="25">
        <f t="shared" si="1"/>
        <v>247265.35330000002</v>
      </c>
      <c r="N18" s="25">
        <f t="shared" si="1"/>
        <v>261727.19260000001</v>
      </c>
      <c r="O18" s="25">
        <f t="shared" si="1"/>
        <v>277467.79982499999</v>
      </c>
      <c r="P18" s="25">
        <f t="shared" si="1"/>
        <v>294490.86962499999</v>
      </c>
      <c r="Q18" s="25">
        <f t="shared" si="1"/>
        <v>312787.92827499995</v>
      </c>
      <c r="R18" s="25">
        <f t="shared" si="1"/>
        <v>332363.48274999997</v>
      </c>
      <c r="S18" s="25">
        <f t="shared" si="1"/>
        <v>353199.49397499999</v>
      </c>
      <c r="T18" s="25">
        <f t="shared" si="1"/>
        <v>375283.50287500001</v>
      </c>
      <c r="U18" s="25">
        <f t="shared" si="1"/>
        <v>561100.23037500004</v>
      </c>
      <c r="V18" s="25">
        <f t="shared" si="1"/>
        <v>585625.04205000005</v>
      </c>
      <c r="W18" s="25">
        <f t="shared" si="1"/>
        <v>611338.79347499995</v>
      </c>
      <c r="X18" s="25">
        <f t="shared" si="1"/>
        <v>638206.53952499991</v>
      </c>
      <c r="Y18" s="25">
        <f t="shared" si="1"/>
        <v>666197.05042500002</v>
      </c>
      <c r="Z18" s="25">
        <f t="shared" si="1"/>
        <v>695271.5456999999</v>
      </c>
      <c r="AA18" s="25">
        <f t="shared" si="1"/>
        <v>725396.99789999996</v>
      </c>
      <c r="AB18" s="25">
        <f t="shared" si="1"/>
        <v>756528.12119999994</v>
      </c>
      <c r="AC18" s="25">
        <f t="shared" si="1"/>
        <v>788617.94512500009</v>
      </c>
      <c r="AD18" s="25">
        <f t="shared" si="1"/>
        <v>821621.24384999997</v>
      </c>
      <c r="AE18" s="25">
        <f t="shared" si="1"/>
        <v>855491.07689999999</v>
      </c>
      <c r="AF18" s="25">
        <f t="shared" si="1"/>
        <v>890168.33542499994</v>
      </c>
      <c r="AG18" s="25">
        <f t="shared" si="1"/>
        <v>925607.10127500002</v>
      </c>
      <c r="AH18" s="25">
        <f t="shared" si="1"/>
        <v>961752.10094999999</v>
      </c>
      <c r="AI18" s="25">
        <f t="shared" si="1"/>
        <v>998544.4656</v>
      </c>
      <c r="AJ18" s="25">
        <f t="shared" si="1"/>
        <v>1035929.9970749998</v>
      </c>
      <c r="AK18" s="25">
        <f t="shared" si="1"/>
        <v>1073849.916525</v>
      </c>
      <c r="AL18" s="25">
        <f t="shared" si="1"/>
        <v>1112248.288125</v>
      </c>
    </row>
    <row r="19" spans="1:38" x14ac:dyDescent="0.2">
      <c r="A19" s="3" t="s">
        <v>209</v>
      </c>
      <c r="B19" s="4"/>
      <c r="C19" s="4"/>
      <c r="D19" s="4"/>
      <c r="E19" s="4"/>
    </row>
    <row r="20" spans="1:38" x14ac:dyDescent="0.2">
      <c r="A20" s="17" t="s">
        <v>210</v>
      </c>
      <c r="B20" s="17" t="s">
        <v>180</v>
      </c>
      <c r="C20" s="25">
        <f t="shared" ref="C20:AL20" si="2">C8+C18</f>
        <v>139032.37</v>
      </c>
      <c r="D20" s="25">
        <f t="shared" si="2"/>
        <v>142507.97</v>
      </c>
      <c r="E20" s="25">
        <f t="shared" si="2"/>
        <v>148294.15149999998</v>
      </c>
      <c r="F20" s="25">
        <f t="shared" si="2"/>
        <v>157979.91482500001</v>
      </c>
      <c r="G20" s="25">
        <f t="shared" si="2"/>
        <v>169750.40607500001</v>
      </c>
      <c r="H20" s="25">
        <f t="shared" si="2"/>
        <v>183633.4706</v>
      </c>
      <c r="I20" s="25">
        <f t="shared" si="2"/>
        <v>237148.6384</v>
      </c>
      <c r="J20" s="25">
        <f t="shared" si="2"/>
        <v>255326.40017500002</v>
      </c>
      <c r="K20" s="25">
        <f t="shared" si="2"/>
        <v>275678.16824999999</v>
      </c>
      <c r="L20" s="25">
        <f t="shared" si="2"/>
        <v>298214.83262499998</v>
      </c>
      <c r="M20" s="25">
        <f t="shared" si="2"/>
        <v>322947.10330000002</v>
      </c>
      <c r="N20" s="25">
        <f t="shared" si="2"/>
        <v>349878.29260000004</v>
      </c>
      <c r="O20" s="25">
        <f t="shared" si="2"/>
        <v>379002.29982499999</v>
      </c>
      <c r="P20" s="25">
        <f t="shared" si="2"/>
        <v>410314.319625</v>
      </c>
      <c r="Q20" s="25">
        <f t="shared" si="2"/>
        <v>443787.67827499995</v>
      </c>
      <c r="R20" s="25">
        <f t="shared" si="2"/>
        <v>479415.93274999998</v>
      </c>
      <c r="S20" s="25">
        <f t="shared" si="2"/>
        <v>517157.79397499998</v>
      </c>
      <c r="T20" s="25">
        <f t="shared" si="2"/>
        <v>556977.55287500005</v>
      </c>
      <c r="U20" s="25">
        <f t="shared" si="2"/>
        <v>761336.53037500009</v>
      </c>
      <c r="V20" s="25">
        <f t="shared" si="2"/>
        <v>805182.69205000007</v>
      </c>
      <c r="W20" s="25">
        <f t="shared" si="2"/>
        <v>850969.04347499995</v>
      </c>
      <c r="X20" s="25">
        <f t="shared" si="2"/>
        <v>898625.38952499989</v>
      </c>
      <c r="Y20" s="25">
        <f t="shared" si="2"/>
        <v>948088.95042500005</v>
      </c>
      <c r="Z20" s="25">
        <f t="shared" si="2"/>
        <v>999281.39569999988</v>
      </c>
      <c r="AA20" s="25">
        <f t="shared" si="2"/>
        <v>1052136.5978999999</v>
      </c>
      <c r="AB20" s="25">
        <f t="shared" si="2"/>
        <v>1106566.0211999998</v>
      </c>
      <c r="AC20" s="25">
        <f t="shared" si="2"/>
        <v>1162484.0451250002</v>
      </c>
      <c r="AD20" s="25">
        <f t="shared" si="2"/>
        <v>1219802.49385</v>
      </c>
      <c r="AE20" s="25">
        <f t="shared" si="2"/>
        <v>1278435.9268999998</v>
      </c>
      <c r="AF20" s="25">
        <f t="shared" si="2"/>
        <v>1338277.0354249999</v>
      </c>
      <c r="AG20" s="25">
        <f t="shared" si="2"/>
        <v>1399240.0012750002</v>
      </c>
      <c r="AH20" s="25">
        <f t="shared" si="2"/>
        <v>1461225.6509499999</v>
      </c>
      <c r="AI20" s="25">
        <f t="shared" si="2"/>
        <v>1524128.1156000001</v>
      </c>
      <c r="AJ20" s="25">
        <f t="shared" si="2"/>
        <v>1587853.7470749998</v>
      </c>
      <c r="AK20" s="25">
        <f t="shared" si="2"/>
        <v>1652297.2165250001</v>
      </c>
      <c r="AL20" s="25">
        <f t="shared" si="2"/>
        <v>1717361.8881250001</v>
      </c>
    </row>
    <row r="21" spans="1:38" x14ac:dyDescent="0.2">
      <c r="A21" s="6" t="s">
        <v>211</v>
      </c>
      <c r="B21" s="6" t="s">
        <v>180</v>
      </c>
      <c r="C21" s="26">
        <f>Revenue!C16-C8</f>
        <v>1941.5117</v>
      </c>
      <c r="D21" s="26">
        <f>Revenue!D16-D8</f>
        <v>7246.1737000000003</v>
      </c>
      <c r="E21" s="26">
        <f>Revenue!E16-E8</f>
        <v>15966.636</v>
      </c>
      <c r="F21" s="26">
        <f>Revenue!F16-F8</f>
        <v>28207.119300000002</v>
      </c>
      <c r="G21" s="26">
        <f>Revenue!G16-G8</f>
        <v>44038.514300000003</v>
      </c>
      <c r="H21" s="26">
        <f>Revenue!H16-H8</f>
        <v>63549.352399999989</v>
      </c>
      <c r="I21" s="26">
        <f>Revenue!I16-I8</f>
        <v>86817.753599999982</v>
      </c>
      <c r="J21" s="26">
        <f>Revenue!J16-J8</f>
        <v>113933.9007</v>
      </c>
      <c r="K21" s="26">
        <f>Revenue!K16-K8</f>
        <v>144960.52299999999</v>
      </c>
      <c r="L21" s="26">
        <f>Revenue!L16-L8</f>
        <v>179955.9705</v>
      </c>
      <c r="M21" s="26">
        <f>Revenue!M16-M8</f>
        <v>218978.74320000003</v>
      </c>
      <c r="N21" s="26">
        <f>Revenue!N16-N8</f>
        <v>262071.35039999997</v>
      </c>
      <c r="O21" s="26">
        <f>Revenue!O16-O8</f>
        <v>309271.61930000002</v>
      </c>
      <c r="P21" s="26">
        <f>Revenue!P16-P8</f>
        <v>360606.66849999997</v>
      </c>
      <c r="Q21" s="26">
        <f>Revenue!Q16-Q8</f>
        <v>416065.00309999997</v>
      </c>
      <c r="R21" s="26">
        <f>Revenue!R16-R8</f>
        <v>475679.92099999991</v>
      </c>
      <c r="S21" s="26">
        <f>Revenue!S16-S8</f>
        <v>539407.79590000003</v>
      </c>
      <c r="T21" s="26">
        <f>Revenue!T16-T8</f>
        <v>607227.32150000008</v>
      </c>
      <c r="U21" s="26">
        <f>Revenue!U16-U8</f>
        <v>679106.18149999995</v>
      </c>
      <c r="V21" s="26">
        <f>Revenue!V16-V8</f>
        <v>754978.87819999992</v>
      </c>
      <c r="W21" s="26">
        <f>Revenue!W16-W8</f>
        <v>834802.68389999983</v>
      </c>
      <c r="X21" s="26">
        <f>Revenue!X16-X8</f>
        <v>918479.06809999992</v>
      </c>
      <c r="Y21" s="26">
        <f>Revenue!Y16-Y8</f>
        <v>1005920.6616999999</v>
      </c>
      <c r="Z21" s="26">
        <f>Revenue!Z16-Z8</f>
        <v>1097018.3728</v>
      </c>
      <c r="AA21" s="26">
        <f>Revenue!AA16-AA8</f>
        <v>1191678.9515999998</v>
      </c>
      <c r="AB21" s="26">
        <f>Revenue!AB16-AB8</f>
        <v>1289770.9847999997</v>
      </c>
      <c r="AC21" s="26">
        <f>Revenue!AC16-AC8</f>
        <v>1391151.0005000001</v>
      </c>
      <c r="AD21" s="26">
        <f>Revenue!AD16-AD8</f>
        <v>1495687.2853999999</v>
      </c>
      <c r="AE21" s="26">
        <f>Revenue!AE16-AE8</f>
        <v>1603236.2175999996</v>
      </c>
      <c r="AF21" s="26">
        <f>Revenue!AF16-AF8</f>
        <v>1713615.5616999997</v>
      </c>
      <c r="AG21" s="26">
        <f>Revenue!AG16-AG8</f>
        <v>1826686.8251</v>
      </c>
      <c r="AH21" s="26">
        <f>Revenue!AH16-AH8</f>
        <v>1942278.3337999999</v>
      </c>
      <c r="AI21" s="26">
        <f>Revenue!AI16-AI8</f>
        <v>2060206.6524</v>
      </c>
      <c r="AJ21" s="26">
        <f>Revenue!AJ16-AJ8</f>
        <v>2180299.3582999995</v>
      </c>
      <c r="AK21" s="26">
        <f>Revenue!AK16-AK8</f>
        <v>2302372.5660999995</v>
      </c>
      <c r="AL21" s="26">
        <f>Revenue!AL16-AL8</f>
        <v>2426247.6724999999</v>
      </c>
    </row>
    <row r="22" spans="1:38" x14ac:dyDescent="0.2">
      <c r="A22" s="6" t="s">
        <v>212</v>
      </c>
      <c r="B22" s="6" t="s">
        <v>175</v>
      </c>
      <c r="C22" s="30">
        <f>IF(Revenue!C16=0,0,C21/Revenue!C16)</f>
        <v>0.46395351440817301</v>
      </c>
      <c r="D22" s="30">
        <f>IF(Revenue!D16=0,0,D21/Revenue!D16)</f>
        <v>0.57278049499458683</v>
      </c>
      <c r="E22" s="30">
        <f>IF(Revenue!E16=0,0,E21/Revenue!E16)</f>
        <v>0.62726709364387589</v>
      </c>
      <c r="F22" s="30">
        <f>IF(Revenue!F16=0,0,F21/Revenue!F16)</f>
        <v>0.66054466104068221</v>
      </c>
      <c r="G22" s="30">
        <f>IF(Revenue!G16=0,0,G21/Revenue!G16)</f>
        <v>0.68307622021440784</v>
      </c>
      <c r="H22" s="30">
        <f>IF(Revenue!H16=0,0,H21/Revenue!H16)</f>
        <v>0.69948675222651258</v>
      </c>
      <c r="I22" s="30">
        <f>IF(Revenue!I16=0,0,I21/Revenue!I16)</f>
        <v>0.71207295973170948</v>
      </c>
      <c r="J22" s="30">
        <f>IF(Revenue!J16=0,0,J21/Revenue!J16)</f>
        <v>0.72210152169481068</v>
      </c>
      <c r="K22" s="30">
        <f>IF(Revenue!K16=0,0,K21/Revenue!K16)</f>
        <v>0.73033021784836472</v>
      </c>
      <c r="L22" s="30">
        <f>IF(Revenue!L16=0,0,L21/Revenue!L16)</f>
        <v>0.73723993543713073</v>
      </c>
      <c r="M22" s="30">
        <f>IF(Revenue!M16=0,0,M21/Revenue!M16)</f>
        <v>0.7431561008464368</v>
      </c>
      <c r="N22" s="30">
        <f>IF(Revenue!N16=0,0,N21/Revenue!N16)</f>
        <v>0.74829968810017777</v>
      </c>
      <c r="O22" s="30">
        <f>IF(Revenue!O16=0,0,O21/Revenue!O16)</f>
        <v>0.75284082872715863</v>
      </c>
      <c r="P22" s="30">
        <f>IF(Revenue!P16=0,0,P21/Revenue!P16)</f>
        <v>0.75689309826872331</v>
      </c>
      <c r="Q22" s="30">
        <f>IF(Revenue!Q16=0,0,Q21/Revenue!Q16)</f>
        <v>0.76054068689734422</v>
      </c>
      <c r="R22" s="30">
        <f>IF(Revenue!R16=0,0,R21/Revenue!R16)</f>
        <v>0.76385931284757314</v>
      </c>
      <c r="S22" s="30">
        <f>IF(Revenue!S16=0,0,S21/Revenue!S16)</f>
        <v>0.7668947921207302</v>
      </c>
      <c r="T22" s="30">
        <f>IF(Revenue!T16=0,0,T21/Revenue!T16)</f>
        <v>0.76969308151135574</v>
      </c>
      <c r="U22" s="30">
        <f>IF(Revenue!U16=0,0,U21/Revenue!U16)</f>
        <v>0.77228860857668002</v>
      </c>
      <c r="V22" s="30">
        <f>IF(Revenue!V16=0,0,V21/Revenue!V16)</f>
        <v>0.77470557167771847</v>
      </c>
      <c r="W22" s="30">
        <f>IF(Revenue!W16=0,0,W21/Revenue!W16)</f>
        <v>0.77697049072184998</v>
      </c>
      <c r="X22" s="30">
        <f>IF(Revenue!X16=0,0,X21/Revenue!X16)</f>
        <v>0.77909974561689743</v>
      </c>
      <c r="Y22" s="30">
        <f>IF(Revenue!Y16=0,0,Y21/Revenue!Y16)</f>
        <v>0.78110797457365722</v>
      </c>
      <c r="Z22" s="30">
        <f>IF(Revenue!Z16=0,0,Z21/Revenue!Z16)</f>
        <v>0.78300947471819915</v>
      </c>
      <c r="AA22" s="30">
        <f>IF(Revenue!AA16=0,0,AA21/Revenue!AA16)</f>
        <v>0.78481585353675676</v>
      </c>
      <c r="AB22" s="30">
        <f>IF(Revenue!AB16=0,0,AB21/Revenue!AB16)</f>
        <v>0.78653738051755173</v>
      </c>
      <c r="AC22" s="30">
        <f>IF(Revenue!AC16=0,0,AC21/Revenue!AC16)</f>
        <v>0.78817989928024501</v>
      </c>
      <c r="AD22" s="30">
        <f>IF(Revenue!AD16=0,0,AD21/Revenue!AD16)</f>
        <v>0.78975243394288663</v>
      </c>
      <c r="AE22" s="30">
        <f>IF(Revenue!AE16=0,0,AE21/Revenue!AE16)</f>
        <v>0.79126009182339463</v>
      </c>
      <c r="AF22" s="30">
        <f>IF(Revenue!AF16=0,0,AF21/Revenue!AF16)</f>
        <v>0.79270774356411067</v>
      </c>
      <c r="AG22" s="30">
        <f>IF(Revenue!AG16=0,0,AG21/Revenue!AG16)</f>
        <v>0.79410127434376099</v>
      </c>
      <c r="AH22" s="30">
        <f>IF(Revenue!AH16=0,0,AH21/Revenue!AH16)</f>
        <v>0.79544459315715177</v>
      </c>
      <c r="AI22" s="30">
        <f>IF(Revenue!AI16=0,0,AI21/Revenue!AI16)</f>
        <v>0.7967415805093786</v>
      </c>
      <c r="AJ22" s="30">
        <f>IF(Revenue!AJ16=0,0,AJ21/Revenue!AJ16)</f>
        <v>0.79799462630875362</v>
      </c>
      <c r="AK22" s="30">
        <f>IF(Revenue!AK16=0,0,AK21/Revenue!AK16)</f>
        <v>0.79920740383428024</v>
      </c>
      <c r="AL22" s="30">
        <f>IF(Revenue!AL16=0,0,AL21/Revenue!AL16)</f>
        <v>0.80038222250528535</v>
      </c>
    </row>
    <row r="23" spans="1:38" x14ac:dyDescent="0.2">
      <c r="A23" s="17" t="s">
        <v>213</v>
      </c>
      <c r="B23" s="17" t="s">
        <v>180</v>
      </c>
      <c r="C23" s="27">
        <f>Revenue!C16-C20</f>
        <v>-134847.65830000001</v>
      </c>
      <c r="D23" s="27">
        <f>Revenue!D16-D20</f>
        <v>-129857.0963</v>
      </c>
      <c r="E23" s="27">
        <f>Revenue!E16-E20</f>
        <v>-122839.86549999999</v>
      </c>
      <c r="F23" s="27">
        <f>Revenue!F16-F20</f>
        <v>-115277.09552500001</v>
      </c>
      <c r="G23" s="27">
        <f>Revenue!G16-G20</f>
        <v>-105279.54177500001</v>
      </c>
      <c r="H23" s="27">
        <f>Revenue!H16-H20</f>
        <v>-92782.068200000009</v>
      </c>
      <c r="I23" s="27">
        <f>Revenue!I16-I20</f>
        <v>-115226.08480000001</v>
      </c>
      <c r="J23" s="27">
        <f>Revenue!J16-J20</f>
        <v>-97545.399475000013</v>
      </c>
      <c r="K23" s="27">
        <f>Revenue!K16-K20</f>
        <v>-77191.895250000001</v>
      </c>
      <c r="L23" s="27">
        <f>Revenue!L16-L20</f>
        <v>-54120.662124999973</v>
      </c>
      <c r="M23" s="27">
        <f>Revenue!M16-M20</f>
        <v>-28286.610099999991</v>
      </c>
      <c r="N23" s="27">
        <f>Revenue!N16-N20</f>
        <v>344.1577999999281</v>
      </c>
      <c r="O23" s="27">
        <f>Revenue!O16-O20</f>
        <v>31803.819475000026</v>
      </c>
      <c r="P23" s="27">
        <f>Revenue!P16-P20</f>
        <v>66115.798874999979</v>
      </c>
      <c r="Q23" s="27">
        <f>Revenue!Q16-Q20</f>
        <v>103277.07482500002</v>
      </c>
      <c r="R23" s="27">
        <f>Revenue!R16-R20</f>
        <v>143316.43824999995</v>
      </c>
      <c r="S23" s="27">
        <f>Revenue!S16-S20</f>
        <v>186208.30192499998</v>
      </c>
      <c r="T23" s="27">
        <f>Revenue!T16-T20</f>
        <v>231943.81862499996</v>
      </c>
      <c r="U23" s="27">
        <f>Revenue!U16-U20</f>
        <v>118005.95112499991</v>
      </c>
      <c r="V23" s="27">
        <f>Revenue!V16-V20</f>
        <v>169353.83614999987</v>
      </c>
      <c r="W23" s="27">
        <f>Revenue!W16-W20</f>
        <v>223463.89042499987</v>
      </c>
      <c r="X23" s="27">
        <f>Revenue!X16-X20</f>
        <v>280272.528575</v>
      </c>
      <c r="Y23" s="27">
        <f>Revenue!Y16-Y20</f>
        <v>339723.61127499992</v>
      </c>
      <c r="Z23" s="27">
        <f>Revenue!Z16-Z20</f>
        <v>401746.82709999999</v>
      </c>
      <c r="AA23" s="27">
        <f>Revenue!AA16-AA20</f>
        <v>466281.95369999995</v>
      </c>
      <c r="AB23" s="27">
        <f>Revenue!AB16-AB20</f>
        <v>533242.86360000004</v>
      </c>
      <c r="AC23" s="27">
        <f>Revenue!AC16-AC20</f>
        <v>602533.05537499976</v>
      </c>
      <c r="AD23" s="27">
        <f>Revenue!AD16-AD20</f>
        <v>674066.04154999997</v>
      </c>
      <c r="AE23" s="27">
        <f>Revenue!AE16-AE20</f>
        <v>747745.14069999987</v>
      </c>
      <c r="AF23" s="27">
        <f>Revenue!AF16-AF20</f>
        <v>823447.22627499979</v>
      </c>
      <c r="AG23" s="27">
        <f>Revenue!AG16-AG20</f>
        <v>901079.72382499976</v>
      </c>
      <c r="AH23" s="27">
        <f>Revenue!AH16-AH20</f>
        <v>980526.23285000003</v>
      </c>
      <c r="AI23" s="27">
        <f>Revenue!AI16-AI20</f>
        <v>1061662.1867999998</v>
      </c>
      <c r="AJ23" s="27">
        <f>Revenue!AJ16-AJ20</f>
        <v>1144369.3612249997</v>
      </c>
      <c r="AK23" s="27">
        <f>Revenue!AK16-AK20</f>
        <v>1228522.6495749997</v>
      </c>
      <c r="AL23" s="27">
        <f>Revenue!AL16-AL20</f>
        <v>1313999.3843749999</v>
      </c>
    </row>
    <row r="24" spans="1:38" x14ac:dyDescent="0.2">
      <c r="A24" s="6" t="s">
        <v>214</v>
      </c>
      <c r="B24" s="6" t="s">
        <v>175</v>
      </c>
      <c r="C24" s="30">
        <f>IF(Revenue!C16=0,0,C23/Revenue!C16)</f>
        <v>-32.223882543688738</v>
      </c>
      <c r="D24" s="30">
        <f>IF(Revenue!D16=0,0,D23/Revenue!D16)</f>
        <v>-10.26467415448152</v>
      </c>
      <c r="E24" s="30">
        <f>IF(Revenue!E16=0,0,E23/Revenue!E16)</f>
        <v>-4.8259010486485456</v>
      </c>
      <c r="F24" s="30">
        <f>IF(Revenue!F16=0,0,F23/Revenue!F16)</f>
        <v>-2.6995195496377917</v>
      </c>
      <c r="G24" s="30">
        <f>IF(Revenue!G16=0,0,G23/Revenue!G16)</f>
        <v>-1.6329786007692781</v>
      </c>
      <c r="H24" s="30">
        <f>IF(Revenue!H16=0,0,H23/Revenue!H16)</f>
        <v>-1.0212508090023718</v>
      </c>
      <c r="I24" s="30">
        <f>IF(Revenue!I16=0,0,I23/Revenue!I16)</f>
        <v>-0.9450760453888658</v>
      </c>
      <c r="J24" s="30">
        <f>IF(Revenue!J16=0,0,J23/Revenue!J16)</f>
        <v>-0.61823286100504504</v>
      </c>
      <c r="K24" s="30">
        <f>IF(Revenue!K16=0,0,K23/Revenue!K16)</f>
        <v>-0.38890294065826914</v>
      </c>
      <c r="L24" s="30">
        <f>IF(Revenue!L16=0,0,L23/Revenue!L16)</f>
        <v>-0.22172042050057877</v>
      </c>
      <c r="M24" s="30">
        <f>IF(Revenue!M16=0,0,M23/Revenue!M16)</f>
        <v>-9.5997294353269577E-2</v>
      </c>
      <c r="N24" s="30">
        <f>IF(Revenue!N16=0,0,N23/Revenue!N16)</f>
        <v>9.8268343336315182E-4</v>
      </c>
      <c r="O24" s="30">
        <f>IF(Revenue!O16=0,0,O23/Revenue!O16)</f>
        <v>7.7418076267200389E-2</v>
      </c>
      <c r="P24" s="30">
        <f>IF(Revenue!P16=0,0,P23/Revenue!P16)</f>
        <v>0.13877334011367709</v>
      </c>
      <c r="Q24" s="30">
        <f>IF(Revenue!Q16=0,0,Q23/Revenue!Q16)</f>
        <v>0.18878400452555133</v>
      </c>
      <c r="R24" s="30">
        <f>IF(Revenue!R16=0,0,R23/Revenue!R16)</f>
        <v>0.23014130134243491</v>
      </c>
      <c r="S24" s="30">
        <f>IF(Revenue!S16=0,0,S23/Revenue!S16)</f>
        <v>0.26473880815471362</v>
      </c>
      <c r="T24" s="30">
        <f>IF(Revenue!T16=0,0,T23/Revenue!T16)</f>
        <v>0.29400118567455991</v>
      </c>
      <c r="U24" s="30">
        <f>IF(Revenue!U16=0,0,U23/Revenue!U16)</f>
        <v>0.13419794176633318</v>
      </c>
      <c r="V24" s="30">
        <f>IF(Revenue!V16=0,0,V23/Revenue!V16)</f>
        <v>0.17377884897018875</v>
      </c>
      <c r="W24" s="30">
        <f>IF(Revenue!W16=0,0,W23/Revenue!W16)</f>
        <v>0.20798309822267438</v>
      </c>
      <c r="X24" s="30">
        <f>IF(Revenue!X16=0,0,X23/Revenue!X16)</f>
        <v>0.23774113455616935</v>
      </c>
      <c r="Y24" s="30">
        <f>IF(Revenue!Y16=0,0,Y23/Revenue!Y16)</f>
        <v>0.26379895753349519</v>
      </c>
      <c r="Z24" s="30">
        <f>IF(Revenue!Z16=0,0,Z23/Revenue!Z16)</f>
        <v>0.28675141625419653</v>
      </c>
      <c r="AA24" s="30">
        <f>IF(Revenue!AA16=0,0,AA23/Revenue!AA16)</f>
        <v>0.3070839415184079</v>
      </c>
      <c r="AB24" s="30">
        <f>IF(Revenue!AB16=0,0,AB23/Revenue!AB16)</f>
        <v>0.32518598267324139</v>
      </c>
      <c r="AC24" s="30">
        <f>IF(Revenue!AC16=0,0,AC23/Revenue!AC16)</f>
        <v>0.34137519415778589</v>
      </c>
      <c r="AD24" s="30">
        <f>IF(Revenue!AD16=0,0,AD23/Revenue!AD16)</f>
        <v>0.35592018609023035</v>
      </c>
      <c r="AE24" s="30">
        <f>IF(Revenue!AE16=0,0,AE23/Revenue!AE16)</f>
        <v>0.36904161856852202</v>
      </c>
      <c r="AF24" s="30">
        <f>IF(Revenue!AF16=0,0,AF23/Revenue!AF16)</f>
        <v>0.38092148978678408</v>
      </c>
      <c r="AG24" s="30">
        <f>IF(Revenue!AG16=0,0,AG23/Revenue!AG16)</f>
        <v>0.3917193397043221</v>
      </c>
      <c r="AH24" s="30">
        <f>IF(Revenue!AH16=0,0,AH23/Revenue!AH16)</f>
        <v>0.40156669453410909</v>
      </c>
      <c r="AI24" s="30">
        <f>IF(Revenue!AI16=0,0,AI23/Revenue!AI16)</f>
        <v>0.41057551566135064</v>
      </c>
      <c r="AJ24" s="30">
        <f>IF(Revenue!AJ16=0,0,AJ23/Revenue!AJ16)</f>
        <v>0.41884184265502056</v>
      </c>
      <c r="AK24" s="30">
        <f>IF(Revenue!AK16=0,0,AK23/Revenue!AK16)</f>
        <v>0.42644896476576677</v>
      </c>
      <c r="AL24" s="30">
        <f>IF(Revenue!AL16=0,0,AL23/Revenue!AL16)</f>
        <v>0.43346842103426653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6B727-3E3D-1F46-80A3-01D7CD45C351}">
  <dimension ref="A1:AL34"/>
  <sheetViews>
    <sheetView tabSelected="1" zoomScale="130" zoomScaleNormal="130" workbookViewId="0">
      <pane xSplit="2" ySplit="4" topLeftCell="AH6" activePane="bottomRight" state="frozen"/>
      <selection pane="topRight" activeCell="C1" sqref="C1"/>
      <selection pane="bottomLeft" activeCell="A5" sqref="A5"/>
      <selection pane="bottomRight" activeCell="AL34" sqref="AL31:AL34"/>
    </sheetView>
  </sheetViews>
  <sheetFormatPr baseColWidth="10" defaultRowHeight="15" x14ac:dyDescent="0.2"/>
  <cols>
    <col min="1" max="1" width="41.6640625" customWidth="1"/>
    <col min="2" max="2" width="7.5" customWidth="1"/>
    <col min="3" max="38" width="13.33203125" customWidth="1"/>
  </cols>
  <sheetData>
    <row r="1" spans="1:38" ht="18" x14ac:dyDescent="0.2">
      <c r="A1" s="66" t="s">
        <v>422</v>
      </c>
    </row>
    <row r="2" spans="1:38" x14ac:dyDescent="0.2">
      <c r="A2" s="2" t="s">
        <v>423</v>
      </c>
    </row>
    <row r="4" spans="1:38" x14ac:dyDescent="0.2">
      <c r="A4" s="67" t="s">
        <v>112</v>
      </c>
      <c r="B4" s="67" t="s">
        <v>113</v>
      </c>
      <c r="C4" s="68" t="s">
        <v>114</v>
      </c>
      <c r="D4" s="68" t="s">
        <v>115</v>
      </c>
      <c r="E4" s="68" t="s">
        <v>116</v>
      </c>
      <c r="F4" s="68" t="s">
        <v>117</v>
      </c>
      <c r="G4" s="68" t="s">
        <v>118</v>
      </c>
      <c r="H4" s="68" t="s">
        <v>119</v>
      </c>
      <c r="I4" s="68" t="s">
        <v>120</v>
      </c>
      <c r="J4" s="68" t="s">
        <v>121</v>
      </c>
      <c r="K4" s="68" t="s">
        <v>122</v>
      </c>
      <c r="L4" s="68" t="s">
        <v>123</v>
      </c>
      <c r="M4" s="68" t="s">
        <v>124</v>
      </c>
      <c r="N4" s="68" t="s">
        <v>125</v>
      </c>
      <c r="O4" s="68" t="s">
        <v>126</v>
      </c>
      <c r="P4" s="68" t="s">
        <v>127</v>
      </c>
      <c r="Q4" s="68" t="s">
        <v>128</v>
      </c>
      <c r="R4" s="68" t="s">
        <v>129</v>
      </c>
      <c r="S4" s="68" t="s">
        <v>130</v>
      </c>
      <c r="T4" s="68" t="s">
        <v>131</v>
      </c>
      <c r="U4" s="68" t="s">
        <v>132</v>
      </c>
      <c r="V4" s="68" t="s">
        <v>133</v>
      </c>
      <c r="W4" s="68" t="s">
        <v>134</v>
      </c>
      <c r="X4" s="68" t="s">
        <v>135</v>
      </c>
      <c r="Y4" s="68" t="s">
        <v>136</v>
      </c>
      <c r="Z4" s="68" t="s">
        <v>137</v>
      </c>
      <c r="AA4" s="68" t="s">
        <v>138</v>
      </c>
      <c r="AB4" s="68" t="s">
        <v>139</v>
      </c>
      <c r="AC4" s="68" t="s">
        <v>140</v>
      </c>
      <c r="AD4" s="68" t="s">
        <v>141</v>
      </c>
      <c r="AE4" s="68" t="s">
        <v>142</v>
      </c>
      <c r="AF4" s="68" t="s">
        <v>143</v>
      </c>
      <c r="AG4" s="68" t="s">
        <v>144</v>
      </c>
      <c r="AH4" s="68" t="s">
        <v>145</v>
      </c>
      <c r="AI4" s="68" t="s">
        <v>146</v>
      </c>
      <c r="AJ4" s="68" t="s">
        <v>147</v>
      </c>
      <c r="AK4" s="68" t="s">
        <v>148</v>
      </c>
      <c r="AL4" s="68" t="s">
        <v>149</v>
      </c>
    </row>
    <row r="5" spans="1:38" x14ac:dyDescent="0.2">
      <c r="A5" s="69" t="s">
        <v>424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</row>
    <row r="6" spans="1:38" x14ac:dyDescent="0.2">
      <c r="A6" s="71" t="s">
        <v>151</v>
      </c>
      <c r="B6" s="71" t="s">
        <v>152</v>
      </c>
      <c r="C6" s="75">
        <f>'User Growth'!C6</f>
        <v>10000</v>
      </c>
      <c r="D6" s="75">
        <f>'User Growth'!D6</f>
        <v>10955</v>
      </c>
      <c r="E6" s="75">
        <f>'User Growth'!E6</f>
        <v>11954</v>
      </c>
      <c r="F6" s="75">
        <f>'User Growth'!F6</f>
        <v>12995</v>
      </c>
      <c r="G6" s="75">
        <f>'User Growth'!G6</f>
        <v>14076</v>
      </c>
      <c r="H6" s="75">
        <f>'User Growth'!H6</f>
        <v>15194</v>
      </c>
      <c r="I6" s="75">
        <f>'User Growth'!I6</f>
        <v>16347</v>
      </c>
      <c r="J6" s="75">
        <f>'User Growth'!J6</f>
        <v>17531</v>
      </c>
      <c r="K6" s="75">
        <f>'User Growth'!K6</f>
        <v>18744</v>
      </c>
      <c r="L6" s="75">
        <f>'User Growth'!L6</f>
        <v>19982</v>
      </c>
      <c r="M6" s="75">
        <f>'User Growth'!M6</f>
        <v>21243</v>
      </c>
      <c r="N6" s="75">
        <f>'User Growth'!N6</f>
        <v>22523</v>
      </c>
      <c r="O6" s="75">
        <f>'User Growth'!O6</f>
        <v>23819</v>
      </c>
      <c r="P6" s="75">
        <f>'User Growth'!P6</f>
        <v>25128</v>
      </c>
      <c r="Q6" s="75">
        <f>'User Growth'!Q6</f>
        <v>26447</v>
      </c>
      <c r="R6" s="75">
        <f>'User Growth'!R6</f>
        <v>27773</v>
      </c>
      <c r="S6" s="75">
        <f>'User Growth'!S6</f>
        <v>29102</v>
      </c>
      <c r="T6" s="75">
        <f>'User Growth'!T6</f>
        <v>30432</v>
      </c>
      <c r="U6" s="75">
        <f>'User Growth'!U6</f>
        <v>31761</v>
      </c>
      <c r="V6" s="75">
        <f>'User Growth'!V6</f>
        <v>33085</v>
      </c>
      <c r="W6" s="75">
        <f>'User Growth'!W6</f>
        <v>34402</v>
      </c>
      <c r="X6" s="75">
        <f>'User Growth'!X6</f>
        <v>35710</v>
      </c>
      <c r="Y6" s="75">
        <f>'User Growth'!Y6</f>
        <v>37007</v>
      </c>
      <c r="Z6" s="75">
        <f>'User Growth'!Z6</f>
        <v>38290</v>
      </c>
      <c r="AA6" s="75">
        <f>'User Growth'!AA6</f>
        <v>39558</v>
      </c>
      <c r="AB6" s="75">
        <f>'User Growth'!AB6</f>
        <v>40809</v>
      </c>
      <c r="AC6" s="75">
        <f>'User Growth'!AC6</f>
        <v>42042</v>
      </c>
      <c r="AD6" s="75">
        <f>'User Growth'!AD6</f>
        <v>43255</v>
      </c>
      <c r="AE6" s="75">
        <f>'User Growth'!AE6</f>
        <v>44447</v>
      </c>
      <c r="AF6" s="75">
        <f>'User Growth'!AF6</f>
        <v>45616</v>
      </c>
      <c r="AG6" s="75">
        <f>'User Growth'!AG6</f>
        <v>46762</v>
      </c>
      <c r="AH6" s="75">
        <f>'User Growth'!AH6</f>
        <v>47884</v>
      </c>
      <c r="AI6" s="75">
        <f>'User Growth'!AI6</f>
        <v>48981</v>
      </c>
      <c r="AJ6" s="75">
        <f>'User Growth'!AJ6</f>
        <v>50053</v>
      </c>
      <c r="AK6" s="75">
        <f>'User Growth'!AK6</f>
        <v>51099</v>
      </c>
      <c r="AL6" s="75">
        <f>'User Growth'!AL6</f>
        <v>52119</v>
      </c>
    </row>
    <row r="7" spans="1:38" x14ac:dyDescent="0.2">
      <c r="A7" s="71" t="s">
        <v>153</v>
      </c>
      <c r="B7" s="71" t="s">
        <v>152</v>
      </c>
      <c r="C7" s="75">
        <f>'User Growth'!C7</f>
        <v>500</v>
      </c>
      <c r="D7" s="75">
        <f>'User Growth'!D7</f>
        <v>524</v>
      </c>
      <c r="E7" s="75">
        <f>'User Growth'!E7</f>
        <v>548</v>
      </c>
      <c r="F7" s="75">
        <f>'User Growth'!F7</f>
        <v>572</v>
      </c>
      <c r="G7" s="75">
        <f>'User Growth'!G7</f>
        <v>596</v>
      </c>
      <c r="H7" s="75">
        <f>'User Growth'!H7</f>
        <v>620</v>
      </c>
      <c r="I7" s="75">
        <f>'User Growth'!I7</f>
        <v>644</v>
      </c>
      <c r="J7" s="75">
        <f>'User Growth'!J7</f>
        <v>667</v>
      </c>
      <c r="K7" s="75">
        <f>'User Growth'!K7</f>
        <v>690</v>
      </c>
      <c r="L7" s="75">
        <f>'User Growth'!L7</f>
        <v>713</v>
      </c>
      <c r="M7" s="75">
        <f>'User Growth'!M7</f>
        <v>735</v>
      </c>
      <c r="N7" s="75">
        <f>'User Growth'!N7</f>
        <v>757</v>
      </c>
      <c r="O7" s="75">
        <f>'User Growth'!O7</f>
        <v>779</v>
      </c>
      <c r="P7" s="75">
        <f>'User Growth'!P7</f>
        <v>800</v>
      </c>
      <c r="Q7" s="75">
        <f>'User Growth'!Q7</f>
        <v>821</v>
      </c>
      <c r="R7" s="75">
        <f>'User Growth'!R7</f>
        <v>842</v>
      </c>
      <c r="S7" s="75">
        <f>'User Growth'!S7</f>
        <v>862</v>
      </c>
      <c r="T7" s="75">
        <f>'User Growth'!T7</f>
        <v>882</v>
      </c>
      <c r="U7" s="75">
        <f>'User Growth'!U7</f>
        <v>901</v>
      </c>
      <c r="V7" s="75">
        <f>'User Growth'!V7</f>
        <v>920</v>
      </c>
      <c r="W7" s="75">
        <f>'User Growth'!W7</f>
        <v>938</v>
      </c>
      <c r="X7" s="75">
        <f>'User Growth'!X7</f>
        <v>956</v>
      </c>
      <c r="Y7" s="75">
        <f>'User Growth'!Y7</f>
        <v>973</v>
      </c>
      <c r="Z7" s="75">
        <f>'User Growth'!Z7</f>
        <v>990</v>
      </c>
      <c r="AA7" s="75">
        <f>'User Growth'!AA7</f>
        <v>1006</v>
      </c>
      <c r="AB7" s="75">
        <f>'User Growth'!AB7</f>
        <v>1022</v>
      </c>
      <c r="AC7" s="75">
        <f>'User Growth'!AC7</f>
        <v>1037</v>
      </c>
      <c r="AD7" s="75">
        <f>'User Growth'!AD7</f>
        <v>1052</v>
      </c>
      <c r="AE7" s="75">
        <f>'User Growth'!AE7</f>
        <v>1066</v>
      </c>
      <c r="AF7" s="75">
        <f>'User Growth'!AF7</f>
        <v>1080</v>
      </c>
      <c r="AG7" s="75">
        <f>'User Growth'!AG7</f>
        <v>1094</v>
      </c>
      <c r="AH7" s="75">
        <f>'User Growth'!AH7</f>
        <v>1107</v>
      </c>
      <c r="AI7" s="75">
        <f>'User Growth'!AI7</f>
        <v>1120</v>
      </c>
      <c r="AJ7" s="75">
        <f>'User Growth'!AJ7</f>
        <v>1132</v>
      </c>
      <c r="AK7" s="75">
        <f>'User Growth'!AK7</f>
        <v>1144</v>
      </c>
      <c r="AL7" s="75">
        <f>'User Growth'!AL7</f>
        <v>1155</v>
      </c>
    </row>
    <row r="8" spans="1:38" x14ac:dyDescent="0.2">
      <c r="A8" s="71" t="s">
        <v>154</v>
      </c>
      <c r="B8" s="71" t="s">
        <v>152</v>
      </c>
      <c r="C8" s="75">
        <f>'User Growth'!C8</f>
        <v>0</v>
      </c>
      <c r="D8" s="75">
        <f>'User Growth'!D8</f>
        <v>771</v>
      </c>
      <c r="E8" s="75">
        <f>'User Growth'!E8</f>
        <v>1577</v>
      </c>
      <c r="F8" s="75">
        <f>'User Growth'!F8</f>
        <v>2415</v>
      </c>
      <c r="G8" s="75">
        <f>'User Growth'!G8</f>
        <v>3284</v>
      </c>
      <c r="H8" s="75">
        <f>'User Growth'!H8</f>
        <v>4182</v>
      </c>
      <c r="I8" s="75">
        <f>'User Growth'!I8</f>
        <v>5107</v>
      </c>
      <c r="J8" s="75">
        <f>'User Growth'!J8</f>
        <v>6055</v>
      </c>
      <c r="K8" s="75">
        <f>'User Growth'!K8</f>
        <v>7024</v>
      </c>
      <c r="L8" s="75">
        <f>'User Growth'!L8</f>
        <v>8010</v>
      </c>
      <c r="M8" s="75">
        <f>'User Growth'!M8</f>
        <v>9011</v>
      </c>
      <c r="N8" s="75">
        <f>'User Growth'!N8</f>
        <v>10023</v>
      </c>
      <c r="O8" s="75">
        <f>'User Growth'!O8</f>
        <v>11043</v>
      </c>
      <c r="P8" s="75">
        <f>'User Growth'!P8</f>
        <v>12066</v>
      </c>
      <c r="Q8" s="75">
        <f>'User Growth'!Q8</f>
        <v>13090</v>
      </c>
      <c r="R8" s="75">
        <f>'User Growth'!R8</f>
        <v>14112</v>
      </c>
      <c r="S8" s="75">
        <f>'User Growth'!S8</f>
        <v>15127</v>
      </c>
      <c r="T8" s="75">
        <f>'User Growth'!T8</f>
        <v>16132</v>
      </c>
      <c r="U8" s="75">
        <f>'User Growth'!U8</f>
        <v>17124</v>
      </c>
      <c r="V8" s="75">
        <f>'User Growth'!V8</f>
        <v>18101</v>
      </c>
      <c r="W8" s="75">
        <f>'User Growth'!W8</f>
        <v>19058</v>
      </c>
      <c r="X8" s="75">
        <f>'User Growth'!X8</f>
        <v>19994</v>
      </c>
      <c r="Y8" s="75">
        <f>'User Growth'!Y8</f>
        <v>20905</v>
      </c>
      <c r="Z8" s="75">
        <f>'User Growth'!Z8</f>
        <v>21789</v>
      </c>
      <c r="AA8" s="75">
        <f>'User Growth'!AA8</f>
        <v>22645</v>
      </c>
      <c r="AB8" s="75">
        <f>'User Growth'!AB8</f>
        <v>23469</v>
      </c>
      <c r="AC8" s="75">
        <f>'User Growth'!AC8</f>
        <v>24261</v>
      </c>
      <c r="AD8" s="75">
        <f>'User Growth'!AD8</f>
        <v>25018</v>
      </c>
      <c r="AE8" s="75">
        <f>'User Growth'!AE8</f>
        <v>25739</v>
      </c>
      <c r="AF8" s="75">
        <f>'User Growth'!AF8</f>
        <v>26423</v>
      </c>
      <c r="AG8" s="75">
        <f>'User Growth'!AG8</f>
        <v>27070</v>
      </c>
      <c r="AH8" s="75">
        <f>'User Growth'!AH8</f>
        <v>27677</v>
      </c>
      <c r="AI8" s="75">
        <f>'User Growth'!AI8</f>
        <v>28246</v>
      </c>
      <c r="AJ8" s="75">
        <f>'User Growth'!AJ8</f>
        <v>28774</v>
      </c>
      <c r="AK8" s="75">
        <f>'User Growth'!AK8</f>
        <v>29263</v>
      </c>
      <c r="AL8" s="75">
        <f>'User Growth'!AL8</f>
        <v>29712</v>
      </c>
    </row>
    <row r="9" spans="1:38" x14ac:dyDescent="0.2">
      <c r="A9" s="72" t="s">
        <v>155</v>
      </c>
      <c r="B9" s="72" t="s">
        <v>152</v>
      </c>
      <c r="C9" s="75">
        <f>'User Growth'!C9</f>
        <v>10500</v>
      </c>
      <c r="D9" s="75">
        <f>'User Growth'!D9</f>
        <v>12250</v>
      </c>
      <c r="E9" s="75">
        <f>'User Growth'!E9</f>
        <v>14079</v>
      </c>
      <c r="F9" s="75">
        <f>'User Growth'!F9</f>
        <v>15982</v>
      </c>
      <c r="G9" s="75">
        <f>'User Growth'!G9</f>
        <v>17956</v>
      </c>
      <c r="H9" s="75">
        <f>'User Growth'!H9</f>
        <v>19996</v>
      </c>
      <c r="I9" s="75">
        <f>'User Growth'!I9</f>
        <v>22098</v>
      </c>
      <c r="J9" s="75">
        <f>'User Growth'!J9</f>
        <v>24253</v>
      </c>
      <c r="K9" s="75">
        <f>'User Growth'!K9</f>
        <v>26458</v>
      </c>
      <c r="L9" s="75">
        <f>'User Growth'!L9</f>
        <v>28705</v>
      </c>
      <c r="M9" s="75">
        <f>'User Growth'!M9</f>
        <v>30989</v>
      </c>
      <c r="N9" s="75">
        <f>'User Growth'!N9</f>
        <v>33303</v>
      </c>
      <c r="O9" s="75">
        <f>'User Growth'!O9</f>
        <v>35641</v>
      </c>
      <c r="P9" s="75">
        <f>'User Growth'!P9</f>
        <v>37994</v>
      </c>
      <c r="Q9" s="75">
        <f>'User Growth'!Q9</f>
        <v>40358</v>
      </c>
      <c r="R9" s="75">
        <f>'User Growth'!R9</f>
        <v>42727</v>
      </c>
      <c r="S9" s="75">
        <f>'User Growth'!S9</f>
        <v>45091</v>
      </c>
      <c r="T9" s="75">
        <f>'User Growth'!T9</f>
        <v>47446</v>
      </c>
      <c r="U9" s="75">
        <f>'User Growth'!U9</f>
        <v>49786</v>
      </c>
      <c r="V9" s="75">
        <f>'User Growth'!V9</f>
        <v>52106</v>
      </c>
      <c r="W9" s="75">
        <f>'User Growth'!W9</f>
        <v>54398</v>
      </c>
      <c r="X9" s="75">
        <f>'User Growth'!X9</f>
        <v>56660</v>
      </c>
      <c r="Y9" s="75">
        <f>'User Growth'!Y9</f>
        <v>58885</v>
      </c>
      <c r="Z9" s="75">
        <f>'User Growth'!Z9</f>
        <v>61069</v>
      </c>
      <c r="AA9" s="75">
        <f>'User Growth'!AA9</f>
        <v>63209</v>
      </c>
      <c r="AB9" s="75">
        <f>'User Growth'!AB9</f>
        <v>65300</v>
      </c>
      <c r="AC9" s="75">
        <f>'User Growth'!AC9</f>
        <v>67340</v>
      </c>
      <c r="AD9" s="75">
        <f>'User Growth'!AD9</f>
        <v>69325</v>
      </c>
      <c r="AE9" s="75">
        <f>'User Growth'!AE9</f>
        <v>71252</v>
      </c>
      <c r="AF9" s="75">
        <f>'User Growth'!AF9</f>
        <v>73119</v>
      </c>
      <c r="AG9" s="75">
        <f>'User Growth'!AG9</f>
        <v>74926</v>
      </c>
      <c r="AH9" s="75">
        <f>'User Growth'!AH9</f>
        <v>76668</v>
      </c>
      <c r="AI9" s="75">
        <f>'User Growth'!AI9</f>
        <v>78347</v>
      </c>
      <c r="AJ9" s="75">
        <f>'User Growth'!AJ9</f>
        <v>79959</v>
      </c>
      <c r="AK9" s="75">
        <f>'User Growth'!AK9</f>
        <v>81506</v>
      </c>
      <c r="AL9" s="75">
        <f>'User Growth'!AL9</f>
        <v>82986</v>
      </c>
    </row>
    <row r="10" spans="1:38" x14ac:dyDescent="0.2">
      <c r="A10" s="71" t="s">
        <v>425</v>
      </c>
      <c r="B10" s="71" t="s">
        <v>180</v>
      </c>
      <c r="C10" s="76">
        <f>Costs!C16</f>
        <v>5000</v>
      </c>
      <c r="D10" s="76">
        <f>Costs!D16</f>
        <v>5000</v>
      </c>
      <c r="E10" s="76">
        <f>Costs!E16</f>
        <v>6363.5715</v>
      </c>
      <c r="F10" s="76">
        <f>Costs!F16</f>
        <v>10675.704825000001</v>
      </c>
      <c r="G10" s="76">
        <f>Costs!G16</f>
        <v>16117.716075</v>
      </c>
      <c r="H10" s="76">
        <f>Costs!H16</f>
        <v>22712.850599999998</v>
      </c>
      <c r="I10" s="76">
        <f>Costs!I16</f>
        <v>30480.638399999996</v>
      </c>
      <c r="J10" s="76">
        <f>Costs!J16</f>
        <v>39445.250175000001</v>
      </c>
      <c r="K10" s="76">
        <f>Costs!K16</f>
        <v>49621.568249999997</v>
      </c>
      <c r="L10" s="76">
        <f>Costs!L16</f>
        <v>61023.542625000002</v>
      </c>
      <c r="M10" s="76">
        <f>Costs!M16</f>
        <v>73665.123300000007</v>
      </c>
      <c r="N10" s="76">
        <f>Costs!N16</f>
        <v>87555.612599999993</v>
      </c>
      <c r="O10" s="76">
        <f>Costs!O16</f>
        <v>102701.52982500001</v>
      </c>
      <c r="P10" s="76">
        <f>Costs!P16</f>
        <v>119107.529625</v>
      </c>
      <c r="Q10" s="76">
        <f>Costs!Q16</f>
        <v>136766.18827499999</v>
      </c>
      <c r="R10" s="76">
        <f>Costs!R16</f>
        <v>155683.09274999998</v>
      </c>
      <c r="S10" s="76">
        <f>Costs!S16</f>
        <v>175841.52397499999</v>
      </c>
      <c r="T10" s="76">
        <f>Costs!T16</f>
        <v>197230.342875</v>
      </c>
      <c r="U10" s="76">
        <f>Costs!U16</f>
        <v>219835.620375</v>
      </c>
      <c r="V10" s="76">
        <f>Costs!V16</f>
        <v>243634.13204999999</v>
      </c>
      <c r="W10" s="76">
        <f>Costs!W16</f>
        <v>268608.23347499996</v>
      </c>
      <c r="X10" s="76">
        <f>Costs!X16</f>
        <v>294724.47952499997</v>
      </c>
      <c r="Y10" s="76">
        <f>Costs!Y16</f>
        <v>321953.14042499999</v>
      </c>
      <c r="Z10" s="76">
        <f>Costs!Z16</f>
        <v>350257.05569999997</v>
      </c>
      <c r="AA10" s="76">
        <f>Costs!AA16</f>
        <v>379604.63789999997</v>
      </c>
      <c r="AB10" s="76">
        <f>Costs!AB16</f>
        <v>409952.22119999997</v>
      </c>
      <c r="AC10" s="76">
        <f>Costs!AC16</f>
        <v>441254.27512499999</v>
      </c>
      <c r="AD10" s="76">
        <f>Costs!AD16</f>
        <v>473467.13384999998</v>
      </c>
      <c r="AE10" s="76">
        <f>Costs!AE16</f>
        <v>506545.26689999993</v>
      </c>
      <c r="AF10" s="76">
        <f>Costs!AF16</f>
        <v>540431.06542499992</v>
      </c>
      <c r="AG10" s="76">
        <f>Costs!AG16</f>
        <v>575079.93127499998</v>
      </c>
      <c r="AH10" s="76">
        <f>Costs!AH16</f>
        <v>610437.97094999999</v>
      </c>
      <c r="AI10" s="76">
        <f>Costs!AI16</f>
        <v>646447.57559999998</v>
      </c>
      <c r="AJ10" s="76">
        <f>Costs!AJ16</f>
        <v>683055.77707499987</v>
      </c>
      <c r="AK10" s="76">
        <f>Costs!AK16</f>
        <v>720204.96652499994</v>
      </c>
      <c r="AL10" s="76">
        <f>Costs!AL16</f>
        <v>757840.31812499999</v>
      </c>
    </row>
    <row r="12" spans="1:38" x14ac:dyDescent="0.2">
      <c r="A12" s="69" t="s">
        <v>426</v>
      </c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</row>
    <row r="13" spans="1:38" x14ac:dyDescent="0.2">
      <c r="A13" s="71" t="s">
        <v>427</v>
      </c>
      <c r="B13" s="71" t="s">
        <v>180</v>
      </c>
      <c r="C13" s="78">
        <f>Assumptions!$B$35</f>
        <v>3.5</v>
      </c>
      <c r="D13" s="78">
        <f>Assumptions!$B$35</f>
        <v>3.5</v>
      </c>
      <c r="E13" s="78">
        <f>Assumptions!$B$35</f>
        <v>3.5</v>
      </c>
      <c r="F13" s="78">
        <f>Assumptions!$B$35</f>
        <v>3.5</v>
      </c>
      <c r="G13" s="78">
        <f>Assumptions!$B$35</f>
        <v>3.5</v>
      </c>
      <c r="H13" s="78">
        <f>Assumptions!$B$35</f>
        <v>3.5</v>
      </c>
      <c r="I13" s="78">
        <f>Assumptions!$B$35</f>
        <v>3.5</v>
      </c>
      <c r="J13" s="78">
        <f>Assumptions!$B$35</f>
        <v>3.5</v>
      </c>
      <c r="K13" s="78">
        <f>Assumptions!$B$35</f>
        <v>3.5</v>
      </c>
      <c r="L13" s="78">
        <f>Assumptions!$B$35</f>
        <v>3.5</v>
      </c>
      <c r="M13" s="78">
        <f>Assumptions!$B$35</f>
        <v>3.5</v>
      </c>
      <c r="N13" s="78">
        <f>Assumptions!$B$35</f>
        <v>3.5</v>
      </c>
      <c r="O13" s="78">
        <f>Assumptions!$B$35</f>
        <v>3.5</v>
      </c>
      <c r="P13" s="78">
        <f>Assumptions!$B$35</f>
        <v>3.5</v>
      </c>
      <c r="Q13" s="78">
        <f>Assumptions!$B$35</f>
        <v>3.5</v>
      </c>
      <c r="R13" s="78">
        <f>Assumptions!$B$35</f>
        <v>3.5</v>
      </c>
      <c r="S13" s="78">
        <f>Assumptions!$B$35</f>
        <v>3.5</v>
      </c>
      <c r="T13" s="78">
        <f>Assumptions!$B$35</f>
        <v>3.5</v>
      </c>
      <c r="U13" s="78">
        <f>Assumptions!$B$35</f>
        <v>3.5</v>
      </c>
      <c r="V13" s="78">
        <f>Assumptions!$B$35</f>
        <v>3.5</v>
      </c>
      <c r="W13" s="78">
        <f>Assumptions!$B$35</f>
        <v>3.5</v>
      </c>
      <c r="X13" s="78">
        <f>Assumptions!$B$35</f>
        <v>3.5</v>
      </c>
      <c r="Y13" s="78">
        <f>Assumptions!$B$35</f>
        <v>3.5</v>
      </c>
      <c r="Z13" s="78">
        <f>Assumptions!$B$35</f>
        <v>3.5</v>
      </c>
      <c r="AA13" s="78">
        <f>Assumptions!$B$35</f>
        <v>3.5</v>
      </c>
      <c r="AB13" s="78">
        <f>Assumptions!$B$35</f>
        <v>3.5</v>
      </c>
      <c r="AC13" s="78">
        <f>Assumptions!$B$35</f>
        <v>3.5</v>
      </c>
      <c r="AD13" s="78">
        <f>Assumptions!$B$35</f>
        <v>3.5</v>
      </c>
      <c r="AE13" s="78">
        <f>Assumptions!$B$35</f>
        <v>3.5</v>
      </c>
      <c r="AF13" s="78">
        <f>Assumptions!$B$35</f>
        <v>3.5</v>
      </c>
      <c r="AG13" s="78">
        <f>Assumptions!$B$35</f>
        <v>3.5</v>
      </c>
      <c r="AH13" s="78">
        <f>Assumptions!$B$35</f>
        <v>3.5</v>
      </c>
      <c r="AI13" s="78">
        <f>Assumptions!$B$35</f>
        <v>3.5</v>
      </c>
      <c r="AJ13" s="78">
        <f>Assumptions!$B$35</f>
        <v>3.5</v>
      </c>
      <c r="AK13" s="78">
        <f>Assumptions!$B$35</f>
        <v>3.5</v>
      </c>
      <c r="AL13" s="78">
        <f>Assumptions!$B$35</f>
        <v>3.5</v>
      </c>
    </row>
    <row r="14" spans="1:38" x14ac:dyDescent="0.2">
      <c r="A14" s="71" t="s">
        <v>428</v>
      </c>
      <c r="B14" s="71" t="s">
        <v>180</v>
      </c>
      <c r="C14" s="78">
        <f>Assumptions!$B$36</f>
        <v>28</v>
      </c>
      <c r="D14" s="78">
        <f>Assumptions!$B$36</f>
        <v>28</v>
      </c>
      <c r="E14" s="78">
        <f>Assumptions!$B$36</f>
        <v>28</v>
      </c>
      <c r="F14" s="78">
        <f>Assumptions!$B$36</f>
        <v>28</v>
      </c>
      <c r="G14" s="78">
        <f>Assumptions!$B$36</f>
        <v>28</v>
      </c>
      <c r="H14" s="78">
        <f>Assumptions!$B$36</f>
        <v>28</v>
      </c>
      <c r="I14" s="78">
        <f>Assumptions!$B$36</f>
        <v>28</v>
      </c>
      <c r="J14" s="78">
        <f>Assumptions!$B$36</f>
        <v>28</v>
      </c>
      <c r="K14" s="78">
        <f>Assumptions!$B$36</f>
        <v>28</v>
      </c>
      <c r="L14" s="78">
        <f>Assumptions!$B$36</f>
        <v>28</v>
      </c>
      <c r="M14" s="78">
        <f>Assumptions!$B$36</f>
        <v>28</v>
      </c>
      <c r="N14" s="78">
        <f>Assumptions!$B$36</f>
        <v>28</v>
      </c>
      <c r="O14" s="78">
        <f>Assumptions!$B$36</f>
        <v>28</v>
      </c>
      <c r="P14" s="78">
        <f>Assumptions!$B$36</f>
        <v>28</v>
      </c>
      <c r="Q14" s="78">
        <f>Assumptions!$B$36</f>
        <v>28</v>
      </c>
      <c r="R14" s="78">
        <f>Assumptions!$B$36</f>
        <v>28</v>
      </c>
      <c r="S14" s="78">
        <f>Assumptions!$B$36</f>
        <v>28</v>
      </c>
      <c r="T14" s="78">
        <f>Assumptions!$B$36</f>
        <v>28</v>
      </c>
      <c r="U14" s="78">
        <f>Assumptions!$B$36</f>
        <v>28</v>
      </c>
      <c r="V14" s="78">
        <f>Assumptions!$B$36</f>
        <v>28</v>
      </c>
      <c r="W14" s="78">
        <f>Assumptions!$B$36</f>
        <v>28</v>
      </c>
      <c r="X14" s="78">
        <f>Assumptions!$B$36</f>
        <v>28</v>
      </c>
      <c r="Y14" s="78">
        <f>Assumptions!$B$36</f>
        <v>28</v>
      </c>
      <c r="Z14" s="78">
        <f>Assumptions!$B$36</f>
        <v>28</v>
      </c>
      <c r="AA14" s="78">
        <f>Assumptions!$B$36</f>
        <v>28</v>
      </c>
      <c r="AB14" s="78">
        <f>Assumptions!$B$36</f>
        <v>28</v>
      </c>
      <c r="AC14" s="78">
        <f>Assumptions!$B$36</f>
        <v>28</v>
      </c>
      <c r="AD14" s="78">
        <f>Assumptions!$B$36</f>
        <v>28</v>
      </c>
      <c r="AE14" s="78">
        <f>Assumptions!$B$36</f>
        <v>28</v>
      </c>
      <c r="AF14" s="78">
        <f>Assumptions!$B$36</f>
        <v>28</v>
      </c>
      <c r="AG14" s="78">
        <f>Assumptions!$B$36</f>
        <v>28</v>
      </c>
      <c r="AH14" s="78">
        <f>Assumptions!$B$36</f>
        <v>28</v>
      </c>
      <c r="AI14" s="78">
        <f>Assumptions!$B$36</f>
        <v>28</v>
      </c>
      <c r="AJ14" s="78">
        <f>Assumptions!$B$36</f>
        <v>28</v>
      </c>
      <c r="AK14" s="78">
        <f>Assumptions!$B$36</f>
        <v>28</v>
      </c>
      <c r="AL14" s="78">
        <f>Assumptions!$B$36</f>
        <v>28</v>
      </c>
    </row>
    <row r="15" spans="1:38" x14ac:dyDescent="0.2">
      <c r="A15" s="71" t="s">
        <v>429</v>
      </c>
      <c r="B15" s="71" t="s">
        <v>180</v>
      </c>
      <c r="C15" s="74">
        <f>C13*(C6+C8)</f>
        <v>35000</v>
      </c>
      <c r="D15" s="74">
        <f t="shared" ref="D15:AL15" si="0">D13*(D6+D8)</f>
        <v>41041</v>
      </c>
      <c r="E15" s="74">
        <f t="shared" si="0"/>
        <v>47358.5</v>
      </c>
      <c r="F15" s="74">
        <f t="shared" si="0"/>
        <v>53935</v>
      </c>
      <c r="G15" s="74">
        <f t="shared" si="0"/>
        <v>60760</v>
      </c>
      <c r="H15" s="74">
        <f t="shared" si="0"/>
        <v>67816</v>
      </c>
      <c r="I15" s="74">
        <f t="shared" si="0"/>
        <v>75089</v>
      </c>
      <c r="J15" s="74">
        <f t="shared" si="0"/>
        <v>82551</v>
      </c>
      <c r="K15" s="74">
        <f t="shared" si="0"/>
        <v>90188</v>
      </c>
      <c r="L15" s="74">
        <f t="shared" si="0"/>
        <v>97972</v>
      </c>
      <c r="M15" s="74">
        <f t="shared" si="0"/>
        <v>105889</v>
      </c>
      <c r="N15" s="74">
        <f t="shared" si="0"/>
        <v>113911</v>
      </c>
      <c r="O15" s="74">
        <f t="shared" si="0"/>
        <v>122017</v>
      </c>
      <c r="P15" s="74">
        <f t="shared" si="0"/>
        <v>130179</v>
      </c>
      <c r="Q15" s="74">
        <f t="shared" si="0"/>
        <v>138379.5</v>
      </c>
      <c r="R15" s="74">
        <f t="shared" si="0"/>
        <v>146597.5</v>
      </c>
      <c r="S15" s="74">
        <f t="shared" si="0"/>
        <v>154801.5</v>
      </c>
      <c r="T15" s="74">
        <f t="shared" si="0"/>
        <v>162974</v>
      </c>
      <c r="U15" s="74">
        <f t="shared" si="0"/>
        <v>171097.5</v>
      </c>
      <c r="V15" s="74">
        <f t="shared" si="0"/>
        <v>179151</v>
      </c>
      <c r="W15" s="74">
        <f t="shared" si="0"/>
        <v>187110</v>
      </c>
      <c r="X15" s="74">
        <f t="shared" si="0"/>
        <v>194964</v>
      </c>
      <c r="Y15" s="74">
        <f t="shared" si="0"/>
        <v>202692</v>
      </c>
      <c r="Z15" s="74">
        <f t="shared" si="0"/>
        <v>210276.5</v>
      </c>
      <c r="AA15" s="74">
        <f t="shared" si="0"/>
        <v>217710.5</v>
      </c>
      <c r="AB15" s="74">
        <f t="shared" si="0"/>
        <v>224973</v>
      </c>
      <c r="AC15" s="74">
        <f t="shared" si="0"/>
        <v>232060.5</v>
      </c>
      <c r="AD15" s="74">
        <f t="shared" si="0"/>
        <v>238955.5</v>
      </c>
      <c r="AE15" s="74">
        <f t="shared" si="0"/>
        <v>245651</v>
      </c>
      <c r="AF15" s="74">
        <f t="shared" si="0"/>
        <v>252136.5</v>
      </c>
      <c r="AG15" s="74">
        <f t="shared" si="0"/>
        <v>258412</v>
      </c>
      <c r="AH15" s="74">
        <f t="shared" si="0"/>
        <v>264463.5</v>
      </c>
      <c r="AI15" s="74">
        <f t="shared" si="0"/>
        <v>270294.5</v>
      </c>
      <c r="AJ15" s="74">
        <f t="shared" si="0"/>
        <v>275894.5</v>
      </c>
      <c r="AK15" s="74">
        <f t="shared" si="0"/>
        <v>281267</v>
      </c>
      <c r="AL15" s="74">
        <f t="shared" si="0"/>
        <v>286408.5</v>
      </c>
    </row>
    <row r="16" spans="1:38" x14ac:dyDescent="0.2">
      <c r="A16" s="71" t="s">
        <v>430</v>
      </c>
      <c r="B16" s="71" t="s">
        <v>180</v>
      </c>
      <c r="C16" s="74">
        <f>C14*C7</f>
        <v>14000</v>
      </c>
      <c r="D16" s="74">
        <f t="shared" ref="D16:AL16" si="1">D14*D7</f>
        <v>14672</v>
      </c>
      <c r="E16" s="74">
        <f t="shared" si="1"/>
        <v>15344</v>
      </c>
      <c r="F16" s="74">
        <f t="shared" si="1"/>
        <v>16016</v>
      </c>
      <c r="G16" s="74">
        <f t="shared" si="1"/>
        <v>16688</v>
      </c>
      <c r="H16" s="74">
        <f t="shared" si="1"/>
        <v>17360</v>
      </c>
      <c r="I16" s="74">
        <f t="shared" si="1"/>
        <v>18032</v>
      </c>
      <c r="J16" s="74">
        <f t="shared" si="1"/>
        <v>18676</v>
      </c>
      <c r="K16" s="74">
        <f t="shared" si="1"/>
        <v>19320</v>
      </c>
      <c r="L16" s="74">
        <f t="shared" si="1"/>
        <v>19964</v>
      </c>
      <c r="M16" s="74">
        <f t="shared" si="1"/>
        <v>20580</v>
      </c>
      <c r="N16" s="74">
        <f t="shared" si="1"/>
        <v>21196</v>
      </c>
      <c r="O16" s="74">
        <f t="shared" si="1"/>
        <v>21812</v>
      </c>
      <c r="P16" s="74">
        <f t="shared" si="1"/>
        <v>22400</v>
      </c>
      <c r="Q16" s="74">
        <f t="shared" si="1"/>
        <v>22988</v>
      </c>
      <c r="R16" s="74">
        <f t="shared" si="1"/>
        <v>23576</v>
      </c>
      <c r="S16" s="74">
        <f t="shared" si="1"/>
        <v>24136</v>
      </c>
      <c r="T16" s="74">
        <f t="shared" si="1"/>
        <v>24696</v>
      </c>
      <c r="U16" s="74">
        <f t="shared" si="1"/>
        <v>25228</v>
      </c>
      <c r="V16" s="74">
        <f t="shared" si="1"/>
        <v>25760</v>
      </c>
      <c r="W16" s="74">
        <f t="shared" si="1"/>
        <v>26264</v>
      </c>
      <c r="X16" s="74">
        <f t="shared" si="1"/>
        <v>26768</v>
      </c>
      <c r="Y16" s="74">
        <f t="shared" si="1"/>
        <v>27244</v>
      </c>
      <c r="Z16" s="74">
        <f t="shared" si="1"/>
        <v>27720</v>
      </c>
      <c r="AA16" s="74">
        <f t="shared" si="1"/>
        <v>28168</v>
      </c>
      <c r="AB16" s="74">
        <f t="shared" si="1"/>
        <v>28616</v>
      </c>
      <c r="AC16" s="74">
        <f t="shared" si="1"/>
        <v>29036</v>
      </c>
      <c r="AD16" s="74">
        <f t="shared" si="1"/>
        <v>29456</v>
      </c>
      <c r="AE16" s="74">
        <f t="shared" si="1"/>
        <v>29848</v>
      </c>
      <c r="AF16" s="74">
        <f t="shared" si="1"/>
        <v>30240</v>
      </c>
      <c r="AG16" s="74">
        <f t="shared" si="1"/>
        <v>30632</v>
      </c>
      <c r="AH16" s="74">
        <f t="shared" si="1"/>
        <v>30996</v>
      </c>
      <c r="AI16" s="74">
        <f t="shared" si="1"/>
        <v>31360</v>
      </c>
      <c r="AJ16" s="74">
        <f t="shared" si="1"/>
        <v>31696</v>
      </c>
      <c r="AK16" s="74">
        <f t="shared" si="1"/>
        <v>32032</v>
      </c>
      <c r="AL16" s="74">
        <f t="shared" si="1"/>
        <v>32340</v>
      </c>
    </row>
    <row r="18" spans="1:38" x14ac:dyDescent="0.2">
      <c r="A18" s="69" t="s">
        <v>431</v>
      </c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</row>
    <row r="19" spans="1:38" x14ac:dyDescent="0.2">
      <c r="A19" s="71" t="s">
        <v>432</v>
      </c>
      <c r="B19" s="71" t="s">
        <v>180</v>
      </c>
      <c r="C19" s="77">
        <f>C13*(C6+C8)/C9+C14*C7/C9</f>
        <v>4.666666666666667</v>
      </c>
      <c r="D19" s="77">
        <f t="shared" ref="D19:AL19" si="2">D13*(D6+D8)/D9+D14*D7/D9</f>
        <v>4.548</v>
      </c>
      <c r="E19" s="77">
        <f t="shared" si="2"/>
        <v>4.4536188649762058</v>
      </c>
      <c r="F19" s="77">
        <f t="shared" si="2"/>
        <v>4.3768614691527965</v>
      </c>
      <c r="G19" s="77">
        <f t="shared" si="2"/>
        <v>4.3132100690576962</v>
      </c>
      <c r="H19" s="77">
        <f t="shared" si="2"/>
        <v>4.2596519303860774</v>
      </c>
      <c r="I19" s="77">
        <f t="shared" si="2"/>
        <v>4.2140012670829936</v>
      </c>
      <c r="J19" s="77">
        <f t="shared" si="2"/>
        <v>4.1737929328330514</v>
      </c>
      <c r="K19" s="77">
        <f t="shared" si="2"/>
        <v>4.1389371834605786</v>
      </c>
      <c r="L19" s="77">
        <f t="shared" si="2"/>
        <v>4.1085525169831039</v>
      </c>
      <c r="M19" s="77">
        <f t="shared" si="2"/>
        <v>4.0810932911678339</v>
      </c>
      <c r="N19" s="77">
        <f t="shared" si="2"/>
        <v>4.0569017806203647</v>
      </c>
      <c r="O19" s="77">
        <f t="shared" si="2"/>
        <v>4.0354928312898064</v>
      </c>
      <c r="P19" s="77">
        <f t="shared" si="2"/>
        <v>4.0158709269884714</v>
      </c>
      <c r="Q19" s="77">
        <f t="shared" si="2"/>
        <v>3.9984018038554936</v>
      </c>
      <c r="R19" s="77">
        <f t="shared" si="2"/>
        <v>3.9828094647412646</v>
      </c>
      <c r="S19" s="77">
        <f t="shared" si="2"/>
        <v>3.9683639750726307</v>
      </c>
      <c r="T19" s="77">
        <f t="shared" si="2"/>
        <v>3.9554440838005309</v>
      </c>
      <c r="U19" s="77">
        <f t="shared" si="2"/>
        <v>3.9433876993532317</v>
      </c>
      <c r="V19" s="77">
        <f t="shared" si="2"/>
        <v>3.9325797412965877</v>
      </c>
      <c r="W19" s="77">
        <f t="shared" si="2"/>
        <v>3.9224603845729624</v>
      </c>
      <c r="X19" s="77">
        <f t="shared" si="2"/>
        <v>3.9133780444758206</v>
      </c>
      <c r="Y19" s="77">
        <f t="shared" si="2"/>
        <v>3.9048314511335653</v>
      </c>
      <c r="Z19" s="77">
        <f t="shared" si="2"/>
        <v>3.8971736887782673</v>
      </c>
      <c r="AA19" s="77">
        <f t="shared" si="2"/>
        <v>3.8899286494011931</v>
      </c>
      <c r="AB19" s="77">
        <f t="shared" si="2"/>
        <v>3.8834456355283309</v>
      </c>
      <c r="AC19" s="77">
        <f t="shared" si="2"/>
        <v>3.8772869022869023</v>
      </c>
      <c r="AD19" s="77">
        <f t="shared" si="2"/>
        <v>3.8717850703209522</v>
      </c>
      <c r="AE19" s="77">
        <f t="shared" si="2"/>
        <v>3.8665440970078029</v>
      </c>
      <c r="AF19" s="77">
        <f t="shared" si="2"/>
        <v>3.8618758462232798</v>
      </c>
      <c r="AG19" s="77">
        <f t="shared" si="2"/>
        <v>3.8577262899394071</v>
      </c>
      <c r="AH19" s="77">
        <f t="shared" si="2"/>
        <v>3.8537525434340276</v>
      </c>
      <c r="AI19" s="77">
        <f t="shared" si="2"/>
        <v>3.8502367672023179</v>
      </c>
      <c r="AJ19" s="77">
        <f t="shared" si="2"/>
        <v>3.8468527620405459</v>
      </c>
      <c r="AK19" s="77">
        <f t="shared" si="2"/>
        <v>3.8438765244276492</v>
      </c>
      <c r="AL19" s="77">
        <f t="shared" si="2"/>
        <v>3.840991251536404</v>
      </c>
    </row>
    <row r="20" spans="1:38" x14ac:dyDescent="0.2">
      <c r="A20" s="80" t="s">
        <v>433</v>
      </c>
      <c r="B20" s="80" t="s">
        <v>180</v>
      </c>
      <c r="C20" s="81">
        <f>C10/C9</f>
        <v>0.47619047619047616</v>
      </c>
      <c r="D20" s="81">
        <f t="shared" ref="D20:AL20" si="3">D10/D9</f>
        <v>0.40816326530612246</v>
      </c>
      <c r="E20" s="81">
        <f t="shared" si="3"/>
        <v>0.45199030470914126</v>
      </c>
      <c r="F20" s="81">
        <f t="shared" si="3"/>
        <v>0.66798303247403334</v>
      </c>
      <c r="G20" s="81">
        <f t="shared" si="3"/>
        <v>0.89762286004678105</v>
      </c>
      <c r="H20" s="81">
        <f t="shared" si="3"/>
        <v>1.1358697039407881</v>
      </c>
      <c r="I20" s="81">
        <f t="shared" si="3"/>
        <v>1.3793392343198478</v>
      </c>
      <c r="J20" s="81">
        <f t="shared" si="3"/>
        <v>1.6264070496433432</v>
      </c>
      <c r="K20" s="81">
        <f t="shared" si="3"/>
        <v>1.8754844753949655</v>
      </c>
      <c r="L20" s="81">
        <f t="shared" si="3"/>
        <v>2.1258854772687688</v>
      </c>
      <c r="M20" s="81">
        <f t="shared" si="3"/>
        <v>2.3771378005098587</v>
      </c>
      <c r="N20" s="81">
        <f t="shared" si="3"/>
        <v>2.6290608233492474</v>
      </c>
      <c r="O20" s="81">
        <f t="shared" si="3"/>
        <v>2.8815557875761062</v>
      </c>
      <c r="P20" s="81">
        <f t="shared" si="3"/>
        <v>3.1349036591303889</v>
      </c>
      <c r="Q20" s="81">
        <f t="shared" si="3"/>
        <v>3.3888247255810495</v>
      </c>
      <c r="R20" s="81">
        <f t="shared" si="3"/>
        <v>3.6436701090645256</v>
      </c>
      <c r="S20" s="81">
        <f t="shared" si="3"/>
        <v>3.899703354882349</v>
      </c>
      <c r="T20" s="81">
        <f t="shared" si="3"/>
        <v>4.1569435331745561</v>
      </c>
      <c r="U20" s="81">
        <f t="shared" si="3"/>
        <v>4.4156112235367369</v>
      </c>
      <c r="V20" s="81">
        <f t="shared" si="3"/>
        <v>4.6757404531148046</v>
      </c>
      <c r="W20" s="81">
        <f t="shared" si="3"/>
        <v>4.937832888617228</v>
      </c>
      <c r="X20" s="81">
        <f t="shared" si="3"/>
        <v>5.2016321836392514</v>
      </c>
      <c r="Y20" s="81">
        <f t="shared" si="3"/>
        <v>5.4674898603209643</v>
      </c>
      <c r="Z20" s="81">
        <f t="shared" si="3"/>
        <v>5.7354313268597812</v>
      </c>
      <c r="AA20" s="81">
        <f t="shared" si="3"/>
        <v>6.0055472780774881</v>
      </c>
      <c r="AB20" s="81">
        <f t="shared" si="3"/>
        <v>6.2779819479326182</v>
      </c>
      <c r="AC20" s="81">
        <f t="shared" si="3"/>
        <v>6.5526325382387878</v>
      </c>
      <c r="AD20" s="81">
        <f t="shared" si="3"/>
        <v>6.8296737663180664</v>
      </c>
      <c r="AE20" s="81">
        <f t="shared" si="3"/>
        <v>7.109207698029528</v>
      </c>
      <c r="AF20" s="81">
        <f t="shared" si="3"/>
        <v>7.3911167470151389</v>
      </c>
      <c r="AG20" s="81">
        <f t="shared" si="3"/>
        <v>7.6753053849798469</v>
      </c>
      <c r="AH20" s="81">
        <f t="shared" si="3"/>
        <v>7.9620959324620442</v>
      </c>
      <c r="AI20" s="81">
        <f t="shared" si="3"/>
        <v>8.2510826911049566</v>
      </c>
      <c r="AJ20" s="81">
        <f t="shared" si="3"/>
        <v>8.5425752832701747</v>
      </c>
      <c r="AK20" s="81">
        <f t="shared" si="3"/>
        <v>8.8362202356268238</v>
      </c>
      <c r="AL20" s="81">
        <f t="shared" si="3"/>
        <v>9.1321466045477546</v>
      </c>
    </row>
    <row r="21" spans="1:38" x14ac:dyDescent="0.2">
      <c r="A21" s="71" t="s">
        <v>434</v>
      </c>
      <c r="B21" s="71" t="s">
        <v>175</v>
      </c>
      <c r="C21" s="79">
        <f>C6/C9</f>
        <v>0.95238095238095233</v>
      </c>
      <c r="D21" s="79">
        <f t="shared" ref="D21:AL21" si="4">D6/D9</f>
        <v>0.89428571428571424</v>
      </c>
      <c r="E21" s="79">
        <f t="shared" si="4"/>
        <v>0.84906598480005679</v>
      </c>
      <c r="F21" s="79">
        <f t="shared" si="4"/>
        <v>0.81310224002002252</v>
      </c>
      <c r="G21" s="79">
        <f t="shared" si="4"/>
        <v>0.78391623969703716</v>
      </c>
      <c r="H21" s="79">
        <f t="shared" si="4"/>
        <v>0.75985197039407881</v>
      </c>
      <c r="I21" s="79">
        <f t="shared" si="4"/>
        <v>0.73975020363833832</v>
      </c>
      <c r="J21" s="79">
        <f t="shared" si="4"/>
        <v>0.72283841174287722</v>
      </c>
      <c r="K21" s="79">
        <f t="shared" si="4"/>
        <v>0.708443570942626</v>
      </c>
      <c r="L21" s="79">
        <f t="shared" si="4"/>
        <v>0.69611565929280617</v>
      </c>
      <c r="M21" s="79">
        <f t="shared" si="4"/>
        <v>0.68550130691535704</v>
      </c>
      <c r="N21" s="79">
        <f t="shared" si="4"/>
        <v>0.67630543794853315</v>
      </c>
      <c r="O21" s="79">
        <f t="shared" si="4"/>
        <v>0.66830335849162481</v>
      </c>
      <c r="P21" s="79">
        <f t="shared" si="4"/>
        <v>0.66136758435542453</v>
      </c>
      <c r="Q21" s="79">
        <f t="shared" si="4"/>
        <v>0.65530997571732985</v>
      </c>
      <c r="R21" s="79">
        <f t="shared" si="4"/>
        <v>0.650010531982119</v>
      </c>
      <c r="S21" s="79">
        <f t="shared" si="4"/>
        <v>0.64540595684282898</v>
      </c>
      <c r="T21" s="79">
        <f t="shared" si="4"/>
        <v>0.64140285798592078</v>
      </c>
      <c r="U21" s="79">
        <f t="shared" si="4"/>
        <v>0.63795042783111722</v>
      </c>
      <c r="V21" s="79">
        <f t="shared" si="4"/>
        <v>0.63495566729359387</v>
      </c>
      <c r="W21" s="79">
        <f t="shared" si="4"/>
        <v>0.63241295635868966</v>
      </c>
      <c r="X21" s="79">
        <f t="shared" si="4"/>
        <v>0.63025061771973179</v>
      </c>
      <c r="Y21" s="79">
        <f t="shared" si="4"/>
        <v>0.62846225694149616</v>
      </c>
      <c r="Z21" s="79">
        <f t="shared" si="4"/>
        <v>0.6269956933959947</v>
      </c>
      <c r="AA21" s="79">
        <f t="shared" si="4"/>
        <v>0.62582860035754406</v>
      </c>
      <c r="AB21" s="79">
        <f t="shared" si="4"/>
        <v>0.6249464012251148</v>
      </c>
      <c r="AC21" s="79">
        <f t="shared" si="4"/>
        <v>0.62432432432432428</v>
      </c>
      <c r="AD21" s="79">
        <f t="shared" si="4"/>
        <v>0.62394518571943747</v>
      </c>
      <c r="AE21" s="79">
        <f t="shared" si="4"/>
        <v>0.62380003368326498</v>
      </c>
      <c r="AF21" s="79">
        <f t="shared" si="4"/>
        <v>0.62385973549966489</v>
      </c>
      <c r="AG21" s="79">
        <f t="shared" si="4"/>
        <v>0.62410912099938609</v>
      </c>
      <c r="AH21" s="79">
        <f t="shared" si="4"/>
        <v>0.62456305107737253</v>
      </c>
      <c r="AI21" s="79">
        <f t="shared" si="4"/>
        <v>0.6251802876944873</v>
      </c>
      <c r="AJ21" s="79">
        <f t="shared" si="4"/>
        <v>0.62598331644968042</v>
      </c>
      <c r="AK21" s="79">
        <f t="shared" si="4"/>
        <v>0.62693544033568083</v>
      </c>
      <c r="AL21" s="79">
        <f t="shared" si="4"/>
        <v>0.62804569445448633</v>
      </c>
    </row>
    <row r="22" spans="1:38" x14ac:dyDescent="0.2">
      <c r="A22" s="71" t="s">
        <v>435</v>
      </c>
      <c r="B22" s="71" t="s">
        <v>175</v>
      </c>
      <c r="C22" s="79">
        <f>C7/C9</f>
        <v>4.7619047619047616E-2</v>
      </c>
      <c r="D22" s="79">
        <f t="shared" ref="D22:AL22" si="5">D7/D9</f>
        <v>4.2775510204081629E-2</v>
      </c>
      <c r="E22" s="79">
        <f t="shared" si="5"/>
        <v>3.8923218978620638E-2</v>
      </c>
      <c r="F22" s="79">
        <f t="shared" si="5"/>
        <v>3.5790264047052933E-2</v>
      </c>
      <c r="G22" s="79">
        <f t="shared" si="5"/>
        <v>3.3192247716640678E-2</v>
      </c>
      <c r="H22" s="79">
        <f t="shared" si="5"/>
        <v>3.1006201240248051E-2</v>
      </c>
      <c r="I22" s="79">
        <f t="shared" si="5"/>
        <v>2.9142908860530364E-2</v>
      </c>
      <c r="J22" s="79">
        <f t="shared" si="5"/>
        <v>2.7501752360532719E-2</v>
      </c>
      <c r="K22" s="79">
        <f t="shared" si="5"/>
        <v>2.6079068712676696E-2</v>
      </c>
      <c r="L22" s="79">
        <f t="shared" si="5"/>
        <v>2.4838878244208325E-2</v>
      </c>
      <c r="M22" s="79">
        <f t="shared" si="5"/>
        <v>2.371809351705444E-2</v>
      </c>
      <c r="N22" s="79">
        <f t="shared" si="5"/>
        <v>2.2730684923280186E-2</v>
      </c>
      <c r="O22" s="79">
        <f t="shared" si="5"/>
        <v>2.1856850256726804E-2</v>
      </c>
      <c r="P22" s="79">
        <f t="shared" si="5"/>
        <v>2.1055956203611097E-2</v>
      </c>
      <c r="Q22" s="79">
        <f t="shared" si="5"/>
        <v>2.0342930769611973E-2</v>
      </c>
      <c r="R22" s="79">
        <f t="shared" si="5"/>
        <v>1.9706508764949563E-2</v>
      </c>
      <c r="S22" s="79">
        <f t="shared" si="5"/>
        <v>1.9116896941740038E-2</v>
      </c>
      <c r="T22" s="79">
        <f t="shared" si="5"/>
        <v>1.8589554440838006E-2</v>
      </c>
      <c r="U22" s="79">
        <f t="shared" si="5"/>
        <v>1.8097457116458441E-2</v>
      </c>
      <c r="V22" s="79">
        <f t="shared" si="5"/>
        <v>1.7656315971289294E-2</v>
      </c>
      <c r="W22" s="79">
        <f t="shared" si="5"/>
        <v>1.7243281002978051E-2</v>
      </c>
      <c r="X22" s="79">
        <f t="shared" si="5"/>
        <v>1.6872573243911049E-2</v>
      </c>
      <c r="Y22" s="79">
        <f t="shared" si="5"/>
        <v>1.6523732699329201E-2</v>
      </c>
      <c r="Z22" s="79">
        <f t="shared" si="5"/>
        <v>1.6211170970541519E-2</v>
      </c>
      <c r="AA22" s="79">
        <f t="shared" si="5"/>
        <v>1.591545507759971E-2</v>
      </c>
      <c r="AB22" s="79">
        <f t="shared" si="5"/>
        <v>1.5650842266462482E-2</v>
      </c>
      <c r="AC22" s="79">
        <f t="shared" si="5"/>
        <v>1.5399465399465399E-2</v>
      </c>
      <c r="AD22" s="79">
        <f t="shared" si="5"/>
        <v>1.5174900829426614E-2</v>
      </c>
      <c r="AE22" s="79">
        <f t="shared" si="5"/>
        <v>1.4960983551338909E-2</v>
      </c>
      <c r="AF22" s="79">
        <f t="shared" si="5"/>
        <v>1.4770442702991014E-2</v>
      </c>
      <c r="AG22" s="79">
        <f t="shared" si="5"/>
        <v>1.4601073058751302E-2</v>
      </c>
      <c r="AH22" s="79">
        <f t="shared" si="5"/>
        <v>1.4438879323837847E-2</v>
      </c>
      <c r="AI22" s="79">
        <f t="shared" si="5"/>
        <v>1.4295378253155832E-2</v>
      </c>
      <c r="AJ22" s="79">
        <f t="shared" si="5"/>
        <v>1.4157255593491664E-2</v>
      </c>
      <c r="AK22" s="79">
        <f t="shared" si="5"/>
        <v>1.4035776507251E-2</v>
      </c>
      <c r="AL22" s="79">
        <f t="shared" si="5"/>
        <v>1.3918010266791989E-2</v>
      </c>
    </row>
    <row r="23" spans="1:38" x14ac:dyDescent="0.2">
      <c r="A23" s="71" t="s">
        <v>436</v>
      </c>
      <c r="B23" s="71" t="s">
        <v>175</v>
      </c>
      <c r="C23" s="79">
        <f>C8/C9</f>
        <v>0</v>
      </c>
      <c r="D23" s="79">
        <f t="shared" ref="D23:AL23" si="6">D8/D9</f>
        <v>6.2938775510204076E-2</v>
      </c>
      <c r="E23" s="79">
        <f t="shared" si="6"/>
        <v>0.11201079622132254</v>
      </c>
      <c r="F23" s="79">
        <f t="shared" si="6"/>
        <v>0.15110749593292455</v>
      </c>
      <c r="G23" s="79">
        <f t="shared" si="6"/>
        <v>0.18289151258632211</v>
      </c>
      <c r="H23" s="79">
        <f t="shared" si="6"/>
        <v>0.20914182836567313</v>
      </c>
      <c r="I23" s="79">
        <f t="shared" si="6"/>
        <v>0.23110688750113131</v>
      </c>
      <c r="J23" s="79">
        <f t="shared" si="6"/>
        <v>0.2496598358965901</v>
      </c>
      <c r="K23" s="79">
        <f t="shared" si="6"/>
        <v>0.26547736034469727</v>
      </c>
      <c r="L23" s="79">
        <f t="shared" si="6"/>
        <v>0.27904546246298556</v>
      </c>
      <c r="M23" s="79">
        <f t="shared" si="6"/>
        <v>0.2907805995675885</v>
      </c>
      <c r="N23" s="79">
        <f t="shared" si="6"/>
        <v>0.30096387712818667</v>
      </c>
      <c r="O23" s="79">
        <f t="shared" si="6"/>
        <v>0.3098397912516484</v>
      </c>
      <c r="P23" s="79">
        <f t="shared" si="6"/>
        <v>0.31757645944096435</v>
      </c>
      <c r="Q23" s="79">
        <f t="shared" si="6"/>
        <v>0.32434709351305813</v>
      </c>
      <c r="R23" s="79">
        <f t="shared" si="6"/>
        <v>0.33028295925293139</v>
      </c>
      <c r="S23" s="79">
        <f t="shared" si="6"/>
        <v>0.33547714621543101</v>
      </c>
      <c r="T23" s="79">
        <f t="shared" si="6"/>
        <v>0.34000758757324118</v>
      </c>
      <c r="U23" s="79">
        <f t="shared" si="6"/>
        <v>0.3439521150524244</v>
      </c>
      <c r="V23" s="79">
        <f t="shared" si="6"/>
        <v>0.34738801673511688</v>
      </c>
      <c r="W23" s="79">
        <f t="shared" si="6"/>
        <v>0.35034376263833228</v>
      </c>
      <c r="X23" s="79">
        <f t="shared" si="6"/>
        <v>0.35287680903635721</v>
      </c>
      <c r="Y23" s="79">
        <f t="shared" si="6"/>
        <v>0.35501401035917468</v>
      </c>
      <c r="Z23" s="79">
        <f t="shared" si="6"/>
        <v>0.35679313563346376</v>
      </c>
      <c r="AA23" s="79">
        <f t="shared" si="6"/>
        <v>0.35825594456485627</v>
      </c>
      <c r="AB23" s="79">
        <f t="shared" si="6"/>
        <v>0.35940275650842268</v>
      </c>
      <c r="AC23" s="79">
        <f t="shared" si="6"/>
        <v>0.36027621027621026</v>
      </c>
      <c r="AD23" s="79">
        <f t="shared" si="6"/>
        <v>0.36087991345113596</v>
      </c>
      <c r="AE23" s="79">
        <f t="shared" si="6"/>
        <v>0.36123898276539607</v>
      </c>
      <c r="AF23" s="79">
        <f t="shared" si="6"/>
        <v>0.36136982179734406</v>
      </c>
      <c r="AG23" s="79">
        <f t="shared" si="6"/>
        <v>0.36128980594186266</v>
      </c>
      <c r="AH23" s="79">
        <f t="shared" si="6"/>
        <v>0.36099806959878961</v>
      </c>
      <c r="AI23" s="79">
        <f t="shared" si="6"/>
        <v>0.36052433405235684</v>
      </c>
      <c r="AJ23" s="79">
        <f t="shared" si="6"/>
        <v>0.35985942795682785</v>
      </c>
      <c r="AK23" s="79">
        <f t="shared" si="6"/>
        <v>0.35902878315706821</v>
      </c>
      <c r="AL23" s="79">
        <f>AL8/AL9</f>
        <v>0.35803629527872172</v>
      </c>
    </row>
    <row r="25" spans="1:38" x14ac:dyDescent="0.2">
      <c r="A25" s="69" t="s">
        <v>437</v>
      </c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</row>
    <row r="26" spans="1:38" x14ac:dyDescent="0.2">
      <c r="A26" s="71" t="s">
        <v>438</v>
      </c>
      <c r="B26" s="71" t="s">
        <v>180</v>
      </c>
      <c r="C26" s="74">
        <f>C10</f>
        <v>5000</v>
      </c>
      <c r="D26" s="74">
        <f>C26+D10</f>
        <v>10000</v>
      </c>
      <c r="E26" s="74">
        <f t="shared" ref="E26:AL26" si="7">D26+E10</f>
        <v>16363.5715</v>
      </c>
      <c r="F26" s="74">
        <f t="shared" si="7"/>
        <v>27039.276324999999</v>
      </c>
      <c r="G26" s="74">
        <f t="shared" si="7"/>
        <v>43156.992400000003</v>
      </c>
      <c r="H26" s="74">
        <f t="shared" si="7"/>
        <v>65869.842999999993</v>
      </c>
      <c r="I26" s="74">
        <f t="shared" si="7"/>
        <v>96350.48139999999</v>
      </c>
      <c r="J26" s="74">
        <f t="shared" si="7"/>
        <v>135795.73157499998</v>
      </c>
      <c r="K26" s="74">
        <f t="shared" si="7"/>
        <v>185417.29982499999</v>
      </c>
      <c r="L26" s="74">
        <f t="shared" si="7"/>
        <v>246440.84245</v>
      </c>
      <c r="M26" s="74">
        <f t="shared" si="7"/>
        <v>320105.96574999997</v>
      </c>
      <c r="N26" s="74">
        <f t="shared" si="7"/>
        <v>407661.57834999997</v>
      </c>
      <c r="O26" s="74">
        <f t="shared" si="7"/>
        <v>510363.10817499994</v>
      </c>
      <c r="P26" s="74">
        <f t="shared" si="7"/>
        <v>629470.63779999991</v>
      </c>
      <c r="Q26" s="74">
        <f t="shared" si="7"/>
        <v>766236.82607499987</v>
      </c>
      <c r="R26" s="74">
        <f t="shared" si="7"/>
        <v>921919.91882499983</v>
      </c>
      <c r="S26" s="74">
        <f t="shared" si="7"/>
        <v>1097761.4427999998</v>
      </c>
      <c r="T26" s="74">
        <f t="shared" si="7"/>
        <v>1294991.7856749999</v>
      </c>
      <c r="U26" s="74">
        <f t="shared" si="7"/>
        <v>1514827.4060499999</v>
      </c>
      <c r="V26" s="74">
        <f t="shared" si="7"/>
        <v>1758461.5380999998</v>
      </c>
      <c r="W26" s="74">
        <f t="shared" si="7"/>
        <v>2027069.7715749997</v>
      </c>
      <c r="X26" s="74">
        <f t="shared" si="7"/>
        <v>2321794.2510999995</v>
      </c>
      <c r="Y26" s="74">
        <f t="shared" si="7"/>
        <v>2643747.3915249994</v>
      </c>
      <c r="Z26" s="74">
        <f t="shared" si="7"/>
        <v>2994004.4472249993</v>
      </c>
      <c r="AA26" s="74">
        <f t="shared" si="7"/>
        <v>3373609.0851249993</v>
      </c>
      <c r="AB26" s="74">
        <f t="shared" si="7"/>
        <v>3783561.3063249993</v>
      </c>
      <c r="AC26" s="74">
        <f t="shared" si="7"/>
        <v>4224815.5814499995</v>
      </c>
      <c r="AD26" s="74">
        <f t="shared" si="7"/>
        <v>4698282.7152999993</v>
      </c>
      <c r="AE26" s="74">
        <f t="shared" si="7"/>
        <v>5204827.9821999995</v>
      </c>
      <c r="AF26" s="74">
        <f t="shared" si="7"/>
        <v>5745259.0476249997</v>
      </c>
      <c r="AG26" s="74">
        <f t="shared" si="7"/>
        <v>6320338.9788999995</v>
      </c>
      <c r="AH26" s="74">
        <f t="shared" si="7"/>
        <v>6930776.9498499995</v>
      </c>
      <c r="AI26" s="74">
        <f t="shared" si="7"/>
        <v>7577224.5254499996</v>
      </c>
      <c r="AJ26" s="74">
        <f t="shared" si="7"/>
        <v>8260280.3025249997</v>
      </c>
      <c r="AK26" s="74">
        <f t="shared" si="7"/>
        <v>8980485.2690500002</v>
      </c>
      <c r="AL26" s="74">
        <f t="shared" si="7"/>
        <v>9738325.5871750005</v>
      </c>
    </row>
    <row r="27" spans="1:38" x14ac:dyDescent="0.2">
      <c r="A27" s="71" t="s">
        <v>439</v>
      </c>
      <c r="B27" s="71" t="s">
        <v>152</v>
      </c>
      <c r="C27" s="73">
        <f>C9</f>
        <v>10500</v>
      </c>
      <c r="D27" s="73">
        <f>C27+D9</f>
        <v>22750</v>
      </c>
      <c r="E27" s="73">
        <f t="shared" ref="E27:AL27" si="8">D27+E9</f>
        <v>36829</v>
      </c>
      <c r="F27" s="73">
        <f t="shared" si="8"/>
        <v>52811</v>
      </c>
      <c r="G27" s="73">
        <f t="shared" si="8"/>
        <v>70767</v>
      </c>
      <c r="H27" s="73">
        <f t="shared" si="8"/>
        <v>90763</v>
      </c>
      <c r="I27" s="73">
        <f t="shared" si="8"/>
        <v>112861</v>
      </c>
      <c r="J27" s="73">
        <f t="shared" si="8"/>
        <v>137114</v>
      </c>
      <c r="K27" s="73">
        <f t="shared" si="8"/>
        <v>163572</v>
      </c>
      <c r="L27" s="73">
        <f t="shared" si="8"/>
        <v>192277</v>
      </c>
      <c r="M27" s="73">
        <f t="shared" si="8"/>
        <v>223266</v>
      </c>
      <c r="N27" s="73">
        <f t="shared" si="8"/>
        <v>256569</v>
      </c>
      <c r="O27" s="73">
        <f t="shared" si="8"/>
        <v>292210</v>
      </c>
      <c r="P27" s="73">
        <f t="shared" si="8"/>
        <v>330204</v>
      </c>
      <c r="Q27" s="73">
        <f t="shared" si="8"/>
        <v>370562</v>
      </c>
      <c r="R27" s="73">
        <f t="shared" si="8"/>
        <v>413289</v>
      </c>
      <c r="S27" s="73">
        <f t="shared" si="8"/>
        <v>458380</v>
      </c>
      <c r="T27" s="73">
        <f t="shared" si="8"/>
        <v>505826</v>
      </c>
      <c r="U27" s="73">
        <f t="shared" si="8"/>
        <v>555612</v>
      </c>
      <c r="V27" s="73">
        <f t="shared" si="8"/>
        <v>607718</v>
      </c>
      <c r="W27" s="73">
        <f t="shared" si="8"/>
        <v>662116</v>
      </c>
      <c r="X27" s="73">
        <f t="shared" si="8"/>
        <v>718776</v>
      </c>
      <c r="Y27" s="73">
        <f t="shared" si="8"/>
        <v>777661</v>
      </c>
      <c r="Z27" s="73">
        <f t="shared" si="8"/>
        <v>838730</v>
      </c>
      <c r="AA27" s="73">
        <f t="shared" si="8"/>
        <v>901939</v>
      </c>
      <c r="AB27" s="73">
        <f t="shared" si="8"/>
        <v>967239</v>
      </c>
      <c r="AC27" s="73">
        <f t="shared" si="8"/>
        <v>1034579</v>
      </c>
      <c r="AD27" s="73">
        <f t="shared" si="8"/>
        <v>1103904</v>
      </c>
      <c r="AE27" s="73">
        <f t="shared" si="8"/>
        <v>1175156</v>
      </c>
      <c r="AF27" s="73">
        <f t="shared" si="8"/>
        <v>1248275</v>
      </c>
      <c r="AG27" s="73">
        <f t="shared" si="8"/>
        <v>1323201</v>
      </c>
      <c r="AH27" s="73">
        <f t="shared" si="8"/>
        <v>1399869</v>
      </c>
      <c r="AI27" s="73">
        <f t="shared" si="8"/>
        <v>1478216</v>
      </c>
      <c r="AJ27" s="73">
        <f t="shared" si="8"/>
        <v>1558175</v>
      </c>
      <c r="AK27" s="73">
        <f t="shared" si="8"/>
        <v>1639681</v>
      </c>
      <c r="AL27" s="73">
        <f t="shared" si="8"/>
        <v>1722667</v>
      </c>
    </row>
    <row r="28" spans="1:38" x14ac:dyDescent="0.2">
      <c r="A28" s="80" t="s">
        <v>440</v>
      </c>
      <c r="B28" s="80" t="s">
        <v>180</v>
      </c>
      <c r="C28" s="81">
        <f>C26/C27</f>
        <v>0.47619047619047616</v>
      </c>
      <c r="D28" s="81">
        <f>D26/D27</f>
        <v>0.43956043956043955</v>
      </c>
      <c r="E28" s="81">
        <f t="shared" ref="E28:AL28" si="9">E26/E27</f>
        <v>0.44431213174400608</v>
      </c>
      <c r="F28" s="81">
        <f t="shared" si="9"/>
        <v>0.51200083931377927</v>
      </c>
      <c r="G28" s="81">
        <f t="shared" si="9"/>
        <v>0.6098462899374002</v>
      </c>
      <c r="H28" s="81">
        <f t="shared" si="9"/>
        <v>0.72573452838711805</v>
      </c>
      <c r="I28" s="81">
        <f t="shared" si="9"/>
        <v>0.85370926537953762</v>
      </c>
      <c r="J28" s="81">
        <f t="shared" si="9"/>
        <v>0.99038560303834755</v>
      </c>
      <c r="K28" s="81">
        <f t="shared" si="9"/>
        <v>1.1335515847761231</v>
      </c>
      <c r="L28" s="81">
        <f t="shared" si="9"/>
        <v>1.2816969395715556</v>
      </c>
      <c r="M28" s="81">
        <f t="shared" si="9"/>
        <v>1.4337425570843745</v>
      </c>
      <c r="N28" s="81">
        <f t="shared" si="9"/>
        <v>1.5888964697605712</v>
      </c>
      <c r="O28" s="81">
        <f t="shared" si="9"/>
        <v>1.7465627739468188</v>
      </c>
      <c r="P28" s="81">
        <f t="shared" si="9"/>
        <v>1.9063083360589208</v>
      </c>
      <c r="Q28" s="81">
        <f t="shared" si="9"/>
        <v>2.0677695664288294</v>
      </c>
      <c r="R28" s="81">
        <f t="shared" si="9"/>
        <v>2.2306906760765464</v>
      </c>
      <c r="S28" s="81">
        <f t="shared" si="9"/>
        <v>2.3948720336838427</v>
      </c>
      <c r="T28" s="81">
        <f t="shared" si="9"/>
        <v>2.5601526724110659</v>
      </c>
      <c r="U28" s="81">
        <f t="shared" si="9"/>
        <v>2.726412327397536</v>
      </c>
      <c r="V28" s="81">
        <f t="shared" si="9"/>
        <v>2.8935485506435548</v>
      </c>
      <c r="W28" s="81">
        <f t="shared" si="9"/>
        <v>3.061502473244869</v>
      </c>
      <c r="X28" s="81">
        <f t="shared" si="9"/>
        <v>3.230205587137021</v>
      </c>
      <c r="Y28" s="81">
        <f t="shared" si="9"/>
        <v>3.3996142168952788</v>
      </c>
      <c r="Z28" s="81">
        <f t="shared" si="9"/>
        <v>3.5696880369427579</v>
      </c>
      <c r="AA28" s="81">
        <f t="shared" si="9"/>
        <v>3.7403960635087286</v>
      </c>
      <c r="AB28" s="81">
        <f t="shared" si="9"/>
        <v>3.9117129337475012</v>
      </c>
      <c r="AC28" s="81">
        <f t="shared" si="9"/>
        <v>4.0836084836923998</v>
      </c>
      <c r="AD28" s="81">
        <f t="shared" si="9"/>
        <v>4.2560609575651496</v>
      </c>
      <c r="AE28" s="81">
        <f t="shared" si="9"/>
        <v>4.4290528084781933</v>
      </c>
      <c r="AF28" s="81">
        <f t="shared" si="9"/>
        <v>4.6025587692014982</v>
      </c>
      <c r="AG28" s="81">
        <f t="shared" si="9"/>
        <v>4.7765524503835772</v>
      </c>
      <c r="AH28" s="81">
        <f t="shared" si="9"/>
        <v>4.9510182380279861</v>
      </c>
      <c r="AI28" s="81">
        <f t="shared" si="9"/>
        <v>5.1259251188256654</v>
      </c>
      <c r="AJ28" s="81">
        <f t="shared" si="9"/>
        <v>5.3012532626470064</v>
      </c>
      <c r="AK28" s="81">
        <f t="shared" si="9"/>
        <v>5.4769709895095451</v>
      </c>
      <c r="AL28" s="81">
        <f t="shared" si="9"/>
        <v>5.6530516850761057</v>
      </c>
    </row>
    <row r="30" spans="1:38" x14ac:dyDescent="0.2">
      <c r="A30" s="69" t="s">
        <v>441</v>
      </c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</row>
    <row r="31" spans="1:38" x14ac:dyDescent="0.2">
      <c r="A31" s="71" t="s">
        <v>442</v>
      </c>
      <c r="B31" s="71" t="s">
        <v>152</v>
      </c>
      <c r="C31" s="75">
        <f>'User Growth'!C29</f>
        <v>431</v>
      </c>
      <c r="D31" s="75">
        <f>'User Growth'!D29</f>
        <v>1291</v>
      </c>
      <c r="E31" s="75">
        <f>'User Growth'!E29</f>
        <v>2580</v>
      </c>
      <c r="F31" s="75">
        <f>'User Growth'!F29</f>
        <v>4299</v>
      </c>
      <c r="G31" s="75">
        <f>'User Growth'!G29</f>
        <v>6449</v>
      </c>
      <c r="H31" s="75">
        <f>'User Growth'!H29</f>
        <v>9032</v>
      </c>
      <c r="I31" s="75">
        <f>'User Growth'!I29</f>
        <v>12048</v>
      </c>
      <c r="J31" s="75">
        <f>'User Growth'!J29</f>
        <v>15501</v>
      </c>
      <c r="K31" s="75">
        <f>'User Growth'!K29</f>
        <v>19390</v>
      </c>
      <c r="L31" s="75">
        <f>'User Growth'!L29</f>
        <v>23715</v>
      </c>
      <c r="M31" s="75">
        <f>'User Growth'!M29</f>
        <v>28476</v>
      </c>
      <c r="N31" s="75">
        <f>'User Growth'!N29</f>
        <v>33672</v>
      </c>
      <c r="O31" s="75">
        <f>'User Growth'!O29</f>
        <v>39299</v>
      </c>
      <c r="P31" s="75">
        <f>'User Growth'!P29</f>
        <v>45355</v>
      </c>
      <c r="Q31" s="75">
        <f>'User Growth'!Q29</f>
        <v>51833</v>
      </c>
      <c r="R31" s="75">
        <f>'User Growth'!R29</f>
        <v>58730</v>
      </c>
      <c r="S31" s="75">
        <f>'User Growth'!S29</f>
        <v>66037</v>
      </c>
      <c r="T31" s="75">
        <f>'User Growth'!T29</f>
        <v>73745</v>
      </c>
      <c r="U31" s="75">
        <f>'User Growth'!U29</f>
        <v>81845</v>
      </c>
      <c r="V31" s="75">
        <f>'User Growth'!V29</f>
        <v>90326</v>
      </c>
      <c r="W31" s="75">
        <f>'User Growth'!W29</f>
        <v>99177</v>
      </c>
      <c r="X31" s="75">
        <f>'User Growth'!X29</f>
        <v>108383</v>
      </c>
      <c r="Y31" s="75">
        <f>'User Growth'!Y29</f>
        <v>117931</v>
      </c>
      <c r="Z31" s="75">
        <f>'User Growth'!Z29</f>
        <v>127804</v>
      </c>
      <c r="AA31" s="75">
        <f>'User Growth'!AA29</f>
        <v>137988</v>
      </c>
      <c r="AB31" s="75">
        <f>'User Growth'!AB29</f>
        <v>148464</v>
      </c>
      <c r="AC31" s="75">
        <f>'User Growth'!AC29</f>
        <v>159215</v>
      </c>
      <c r="AD31" s="75">
        <f>'User Growth'!AD29</f>
        <v>170222</v>
      </c>
      <c r="AE31" s="75">
        <f>'User Growth'!AE29</f>
        <v>181468</v>
      </c>
      <c r="AF31" s="75">
        <f>'User Growth'!AF29</f>
        <v>192931</v>
      </c>
      <c r="AG31" s="75">
        <f>'User Growth'!AG29</f>
        <v>204593</v>
      </c>
      <c r="AH31" s="75">
        <f>'User Growth'!AH29</f>
        <v>216434</v>
      </c>
      <c r="AI31" s="75">
        <f>'User Growth'!AI29</f>
        <v>228432</v>
      </c>
      <c r="AJ31" s="75">
        <f>'User Growth'!AJ29</f>
        <v>240569</v>
      </c>
      <c r="AK31" s="75">
        <f>'User Growth'!AK29</f>
        <v>252823</v>
      </c>
      <c r="AL31" s="75">
        <f>'User Growth'!AL29</f>
        <v>265175</v>
      </c>
    </row>
    <row r="32" spans="1:38" x14ac:dyDescent="0.2">
      <c r="A32" s="71" t="s">
        <v>443</v>
      </c>
      <c r="B32" s="71" t="s">
        <v>180</v>
      </c>
      <c r="C32" s="77">
        <f>IF(C31&gt;0,C10/C31,0)</f>
        <v>11.600928074245939</v>
      </c>
      <c r="D32" s="77">
        <f t="shared" ref="D32:AL32" si="10">IF(D31&gt;0,D10/D31,0)</f>
        <v>3.8729666924864445</v>
      </c>
      <c r="E32" s="77">
        <f t="shared" si="10"/>
        <v>2.4665005813953487</v>
      </c>
      <c r="F32" s="77">
        <f t="shared" si="10"/>
        <v>2.483299563852059</v>
      </c>
      <c r="G32" s="77">
        <f t="shared" si="10"/>
        <v>2.4992581911924332</v>
      </c>
      <c r="H32" s="77">
        <f t="shared" si="10"/>
        <v>2.5147088795394152</v>
      </c>
      <c r="I32" s="77">
        <f t="shared" si="10"/>
        <v>2.529933466135458</v>
      </c>
      <c r="J32" s="77">
        <f t="shared" si="10"/>
        <v>2.5446906764079738</v>
      </c>
      <c r="K32" s="77">
        <f t="shared" si="10"/>
        <v>2.5591319365652399</v>
      </c>
      <c r="L32" s="77">
        <f t="shared" si="10"/>
        <v>2.5732044117647059</v>
      </c>
      <c r="M32" s="77">
        <f t="shared" si="10"/>
        <v>2.5869196270543617</v>
      </c>
      <c r="N32" s="77">
        <f t="shared" si="10"/>
        <v>2.6002498396293654</v>
      </c>
      <c r="O32" s="77">
        <f t="shared" si="10"/>
        <v>2.6133369761317082</v>
      </c>
      <c r="P32" s="77">
        <f t="shared" si="10"/>
        <v>2.6261168476463452</v>
      </c>
      <c r="Q32" s="77">
        <f t="shared" si="10"/>
        <v>2.6385929480253889</v>
      </c>
      <c r="R32" s="77">
        <f t="shared" si="10"/>
        <v>2.6508273923037629</v>
      </c>
      <c r="S32" s="77">
        <f t="shared" si="10"/>
        <v>2.6627727482320513</v>
      </c>
      <c r="T32" s="77">
        <f t="shared" si="10"/>
        <v>2.674491055325785</v>
      </c>
      <c r="U32" s="77">
        <f t="shared" si="10"/>
        <v>2.6859993936709632</v>
      </c>
      <c r="V32" s="77">
        <f t="shared" si="10"/>
        <v>2.6972757793990656</v>
      </c>
      <c r="W32" s="77">
        <f t="shared" si="10"/>
        <v>2.7083722382709698</v>
      </c>
      <c r="X32" s="77">
        <f t="shared" si="10"/>
        <v>2.7192869686666725</v>
      </c>
      <c r="Y32" s="77">
        <f t="shared" si="10"/>
        <v>2.7300128077011134</v>
      </c>
      <c r="Z32" s="77">
        <f t="shared" si="10"/>
        <v>2.7405797604143842</v>
      </c>
      <c r="AA32" s="77">
        <f t="shared" si="10"/>
        <v>2.7509974628228542</v>
      </c>
      <c r="AB32" s="77">
        <f t="shared" si="10"/>
        <v>2.7612904219204655</v>
      </c>
      <c r="AC32" s="77">
        <f t="shared" si="10"/>
        <v>2.7714365802531167</v>
      </c>
      <c r="AD32" s="77">
        <f t="shared" si="10"/>
        <v>2.781468516701719</v>
      </c>
      <c r="AE32" s="77">
        <f t="shared" si="10"/>
        <v>2.7913751565014215</v>
      </c>
      <c r="AF32" s="77">
        <f t="shared" si="10"/>
        <v>2.8011624125982859</v>
      </c>
      <c r="AG32" s="77">
        <f t="shared" si="10"/>
        <v>2.8108485201106586</v>
      </c>
      <c r="AH32" s="77">
        <f t="shared" si="10"/>
        <v>2.8204347327591783</v>
      </c>
      <c r="AI32" s="77">
        <f t="shared" si="10"/>
        <v>2.8299344032359737</v>
      </c>
      <c r="AJ32" s="77">
        <f t="shared" si="10"/>
        <v>2.8393341497657629</v>
      </c>
      <c r="AK32" s="77">
        <f t="shared" si="10"/>
        <v>2.8486528778038389</v>
      </c>
      <c r="AL32" s="77">
        <f t="shared" si="10"/>
        <v>2.857887501178467</v>
      </c>
    </row>
    <row r="33" spans="1:38" x14ac:dyDescent="0.2">
      <c r="A33" s="71" t="s">
        <v>444</v>
      </c>
      <c r="B33" s="71" t="s">
        <v>445</v>
      </c>
      <c r="C33" s="82">
        <f>IF(C20&gt;0,(Assumptions!$B$29-Assumptions!$B$33)*(1/Assumptions!$B$23)/C20,0)</f>
        <v>228.08940000000001</v>
      </c>
      <c r="D33" s="82">
        <f>IF(D20&gt;0,(Assumptions!$B$29-Assumptions!$B$33)*(1/Assumptions!$B$23)/D20,0)</f>
        <v>266.10430000000002</v>
      </c>
      <c r="E33" s="82">
        <f>IF(E20&gt;0,(Assumptions!$B$29-Assumptions!$B$33)*(1/Assumptions!$B$23)/E20,0)</f>
        <v>240.30161458860016</v>
      </c>
      <c r="F33" s="82">
        <f>IF(F20&gt;0,(Assumptions!$B$29-Assumptions!$B$33)*(1/Assumptions!$B$23)/F20,0)</f>
        <v>162.59993850101603</v>
      </c>
      <c r="G33" s="82">
        <f>IF(G20&gt;0,(Assumptions!$B$29-Assumptions!$B$33)*(1/Assumptions!$B$23)/G20,0)</f>
        <v>121.0018202904719</v>
      </c>
      <c r="H33" s="82">
        <f>IF(H20&gt;0,(Assumptions!$B$29-Assumptions!$B$33)*(1/Assumptions!$B$23)/H20,0)</f>
        <v>95.621883058571257</v>
      </c>
      <c r="I33" s="82">
        <f>IF(I20&gt;0,(Assumptions!$B$29-Assumptions!$B$33)*(1/Assumptions!$B$23)/I20,0)</f>
        <v>78.743500726677709</v>
      </c>
      <c r="J33" s="82">
        <f>IF(J20&gt;0,(Assumptions!$B$29-Assumptions!$B$33)*(1/Assumptions!$B$23)/J20,0)</f>
        <v>66.781560018334957</v>
      </c>
      <c r="K33" s="82">
        <f>IF(K20&gt;0,(Assumptions!$B$29-Assumptions!$B$33)*(1/Assumptions!$B$23)/K20,0)</f>
        <v>57.912502835901407</v>
      </c>
      <c r="L33" s="82">
        <f>IF(L20&gt;0,(Assumptions!$B$29-Assumptions!$B$33)*(1/Assumptions!$B$23)/L20,0)</f>
        <v>51.091181139043215</v>
      </c>
      <c r="M33" s="82">
        <f>IF(M20&gt;0,(Assumptions!$B$29-Assumptions!$B$33)*(1/Assumptions!$B$23)/M20,0)</f>
        <v>45.691082770508302</v>
      </c>
      <c r="N33" s="82">
        <f>IF(N20&gt;0,(Assumptions!$B$29-Assumptions!$B$33)*(1/Assumptions!$B$23)/N20,0)</f>
        <v>41.31285173601767</v>
      </c>
      <c r="O33" s="82">
        <f>IF(O20&gt;0,(Assumptions!$B$29-Assumptions!$B$33)*(1/Assumptions!$B$23)/O20,0)</f>
        <v>37.692832624754914</v>
      </c>
      <c r="P33" s="82">
        <f>IF(P20&gt;0,(Assumptions!$B$29-Assumptions!$B$33)*(1/Assumptions!$B$23)/P20,0)</f>
        <v>34.646678753161154</v>
      </c>
      <c r="Q33" s="82">
        <f>IF(Q20&gt;0,(Assumptions!$B$29-Assumptions!$B$33)*(1/Assumptions!$B$23)/Q20,0)</f>
        <v>32.050639615590327</v>
      </c>
      <c r="R33" s="82">
        <f>IF(R20&gt;0,(Assumptions!$B$29-Assumptions!$B$33)*(1/Assumptions!$B$23)/R20,0)</f>
        <v>29.808955462185221</v>
      </c>
      <c r="S33" s="82">
        <f>IF(S20&gt;0,(Assumptions!$B$29-Assumptions!$B$33)*(1/Assumptions!$B$23)/S20,0)</f>
        <v>27.851862081770271</v>
      </c>
      <c r="T33" s="82">
        <f>IF(T20&gt;0,(Assumptions!$B$29-Assumptions!$B$33)*(1/Assumptions!$B$23)/T20,0)</f>
        <v>26.128331821975497</v>
      </c>
      <c r="U33" s="82">
        <f>IF(U20&gt;0,(Assumptions!$B$29-Assumptions!$B$33)*(1/Assumptions!$B$23)/U20,0)</f>
        <v>24.597727132554102</v>
      </c>
      <c r="V33" s="82">
        <f>IF(V20&gt;0,(Assumptions!$B$29-Assumptions!$B$33)*(1/Assumptions!$B$23)/V20,0)</f>
        <v>23.229261993711688</v>
      </c>
      <c r="W33" s="82">
        <f>IF(W20&gt;0,(Assumptions!$B$29-Assumptions!$B$33)*(1/Assumptions!$B$23)/W20,0)</f>
        <v>21.996289151538267</v>
      </c>
      <c r="X33" s="82">
        <f>IF(X20&gt;0,(Assumptions!$B$29-Assumptions!$B$33)*(1/Assumptions!$B$23)/X20,0)</f>
        <v>20.880753610688732</v>
      </c>
      <c r="Y33" s="82">
        <f>IF(Y20&gt;0,(Assumptions!$B$29-Assumptions!$B$33)*(1/Assumptions!$B$23)/Y20,0)</f>
        <v>19.865423215183412</v>
      </c>
      <c r="Z33" s="82">
        <f>IF(Z20&gt;0,(Assumptions!$B$29-Assumptions!$B$33)*(1/Assumptions!$B$23)/Z20,0)</f>
        <v>18.937372589807904</v>
      </c>
      <c r="AA33" s="82">
        <f>IF(AA20&gt;0,(Assumptions!$B$29-Assumptions!$B$33)*(1/Assumptions!$B$23)/AA20,0)</f>
        <v>18.085612346518701</v>
      </c>
      <c r="AB33" s="82">
        <f>IF(AB20&gt;0,(Assumptions!$B$29-Assumptions!$B$33)*(1/Assumptions!$B$23)/AB20,0)</f>
        <v>17.300782464939601</v>
      </c>
      <c r="AC33" s="82">
        <f>IF(AC20&gt;0,(Assumptions!$B$29-Assumptions!$B$33)*(1/Assumptions!$B$23)/AC20,0)</f>
        <v>16.575628095451421</v>
      </c>
      <c r="AD33" s="82">
        <f>IF(AD20&gt;0,(Assumptions!$B$29-Assumptions!$B$33)*(1/Assumptions!$B$23)/AD20,0)</f>
        <v>15.903248634752098</v>
      </c>
      <c r="AE33" s="82">
        <f>IF(AE20&gt;0,(Assumptions!$B$29-Assumptions!$B$33)*(1/Assumptions!$B$23)/AE20,0)</f>
        <v>15.277933155632061</v>
      </c>
      <c r="AF33" s="82">
        <f>IF(AF20&gt;0,(Assumptions!$B$29-Assumptions!$B$33)*(1/Assumptions!$B$23)/AF20,0)</f>
        <v>14.695208277404515</v>
      </c>
      <c r="AG33" s="82">
        <f>IF(AG20&gt;0,(Assumptions!$B$29-Assumptions!$B$33)*(1/Assumptions!$B$23)/AG20,0)</f>
        <v>14.151098171618248</v>
      </c>
      <c r="AH33" s="82">
        <f>IF(AH20&gt;0,(Assumptions!$B$29-Assumptions!$B$33)*(1/Assumptions!$B$23)/AH20,0)</f>
        <v>13.641382987759897</v>
      </c>
      <c r="AI33" s="82">
        <f>IF(AI20&gt;0,(Assumptions!$B$29-Assumptions!$B$33)*(1/Assumptions!$B$23)/AI20,0)</f>
        <v>13.163605803768135</v>
      </c>
      <c r="AJ33" s="82">
        <f>IF(AJ20&gt;0,(Assumptions!$B$29-Assumptions!$B$33)*(1/Assumptions!$B$23)/AJ20,0)</f>
        <v>12.714432872802449</v>
      </c>
      <c r="AK33" s="82">
        <f>IF(AK20&gt;0,(Assumptions!$B$29-Assumptions!$B$33)*(1/Assumptions!$B$23)/AK20,0)</f>
        <v>12.291907297882684</v>
      </c>
      <c r="AL33" s="82">
        <f>IF(AL20&gt;0,(Assumptions!$B$29-Assumptions!$B$33)*(1/Assumptions!$B$23)/AL20,0)</f>
        <v>11.89358917496034</v>
      </c>
    </row>
    <row r="34" spans="1:38" x14ac:dyDescent="0.2">
      <c r="A34" s="71" t="s">
        <v>446</v>
      </c>
      <c r="B34" s="71" t="s">
        <v>445</v>
      </c>
      <c r="C34" s="82">
        <f>IF(C20&gt;0,(Assumptions!$B$30-Assumptions!$B$33)*(1/Assumptions!$B$24)/C20,0)</f>
        <v>1161.3489999999999</v>
      </c>
      <c r="D34" s="82">
        <f>IF(D20&gt;0,(Assumptions!$B$30-Assumptions!$B$33)*(1/Assumptions!$B$24)/D20,0)</f>
        <v>1354.9071666666666</v>
      </c>
      <c r="E34" s="82">
        <f>IF(E20&gt;0,(Assumptions!$B$30-Assumptions!$B$33)*(1/Assumptions!$B$24)/E20,0)</f>
        <v>1223.5291942582871</v>
      </c>
      <c r="F34" s="82">
        <f>IF(F20&gt;0,(Assumptions!$B$30-Assumptions!$B$33)*(1/Assumptions!$B$24)/F20,0)</f>
        <v>827.90027058783278</v>
      </c>
      <c r="G34" s="82">
        <f>IF(G20&gt;0,(Assumptions!$B$30-Assumptions!$B$33)*(1/Assumptions!$B$24)/G20,0)</f>
        <v>616.09764852079593</v>
      </c>
      <c r="H34" s="82">
        <f>IF(H20&gt;0,(Assumptions!$B$30-Assumptions!$B$33)*(1/Assumptions!$B$24)/H20,0)</f>
        <v>486.87215744435588</v>
      </c>
      <c r="I34" s="82">
        <f>IF(I20&gt;0,(Assumptions!$B$30-Assumptions!$B$33)*(1/Assumptions!$B$24)/I20,0)</f>
        <v>400.93351916146219</v>
      </c>
      <c r="J34" s="82">
        <f>IF(J20&gt;0,(Assumptions!$B$30-Assumptions!$B$33)*(1/Assumptions!$B$24)/J20,0)</f>
        <v>340.02762927927944</v>
      </c>
      <c r="K34" s="82">
        <f>IF(K20&gt;0,(Assumptions!$B$30-Assumptions!$B$33)*(1/Assumptions!$B$24)/K20,0)</f>
        <v>294.86958734588831</v>
      </c>
      <c r="L34" s="82">
        <f>IF(L20&gt;0,(Assumptions!$B$30-Assumptions!$B$33)*(1/Assumptions!$B$24)/L20,0)</f>
        <v>260.13787630923093</v>
      </c>
      <c r="M34" s="82">
        <f>IF(M20&gt;0,(Assumptions!$B$30-Assumptions!$B$33)*(1/Assumptions!$B$24)/M20,0)</f>
        <v>232.64252211828801</v>
      </c>
      <c r="N34" s="82">
        <f>IF(N20&gt;0,(Assumptions!$B$30-Assumptions!$B$33)*(1/Assumptions!$B$24)/N20,0)</f>
        <v>210.35014801552541</v>
      </c>
      <c r="O34" s="82">
        <f>IF(O20&gt;0,(Assumptions!$B$30-Assumptions!$B$33)*(1/Assumptions!$B$24)/O20,0)</f>
        <v>191.9183156951901</v>
      </c>
      <c r="P34" s="82">
        <f>IF(P20&gt;0,(Assumptions!$B$30-Assumptions!$B$33)*(1/Assumptions!$B$24)/P20,0)</f>
        <v>176.40839830042498</v>
      </c>
      <c r="Q34" s="82">
        <f>IF(Q20&gt;0,(Assumptions!$B$30-Assumptions!$B$33)*(1/Assumptions!$B$24)/Q20,0)</f>
        <v>163.1903028677624</v>
      </c>
      <c r="R34" s="82">
        <f>IF(R20&gt;0,(Assumptions!$B$30-Assumptions!$B$33)*(1/Assumptions!$B$24)/R20,0)</f>
        <v>151.7764552717195</v>
      </c>
      <c r="S34" s="82">
        <f>IF(S20&gt;0,(Assumptions!$B$30-Assumptions!$B$33)*(1/Assumptions!$B$24)/S20,0)</f>
        <v>141.81164129855145</v>
      </c>
      <c r="T34" s="82">
        <f>IF(T20&gt;0,(Assumptions!$B$30-Assumptions!$B$33)*(1/Assumptions!$B$24)/T20,0)</f>
        <v>133.03604653753931</v>
      </c>
      <c r="U34" s="82">
        <f>IF(U20&gt;0,(Assumptions!$B$30-Assumptions!$B$33)*(1/Assumptions!$B$24)/U20,0)</f>
        <v>125.24275923240874</v>
      </c>
      <c r="V34" s="82">
        <f>IF(V20&gt;0,(Assumptions!$B$30-Assumptions!$B$33)*(1/Assumptions!$B$24)/V20,0)</f>
        <v>118.27502806853398</v>
      </c>
      <c r="W34" s="82">
        <f>IF(W20&gt;0,(Assumptions!$B$30-Assumptions!$B$33)*(1/Assumptions!$B$24)/W20,0)</f>
        <v>111.99717483517347</v>
      </c>
      <c r="X34" s="82">
        <f>IF(X20&gt;0,(Assumptions!$B$30-Assumptions!$B$33)*(1/Assumptions!$B$24)/X20,0)</f>
        <v>106.31727000474264</v>
      </c>
      <c r="Y34" s="82">
        <f>IF(Y20&gt;0,(Assumptions!$B$30-Assumptions!$B$33)*(1/Assumptions!$B$24)/Y20,0)</f>
        <v>101.14757365107734</v>
      </c>
      <c r="Z34" s="82">
        <f>IF(Z20&gt;0,(Assumptions!$B$30-Assumptions!$B$33)*(1/Assumptions!$B$24)/Z20,0)</f>
        <v>96.422274423102607</v>
      </c>
      <c r="AA34" s="82">
        <f>IF(AA20&gt;0,(Assumptions!$B$30-Assumptions!$B$33)*(1/Assumptions!$B$24)/AA20,0)</f>
        <v>92.085418318506456</v>
      </c>
      <c r="AB34" s="82">
        <f>IF(AB20&gt;0,(Assumptions!$B$30-Assumptions!$B$33)*(1/Assumptions!$B$24)/AB20,0)</f>
        <v>88.089347487761998</v>
      </c>
      <c r="AC34" s="82">
        <f>IF(AC20&gt;0,(Assumptions!$B$30-Assumptions!$B$33)*(1/Assumptions!$B$24)/AC20,0)</f>
        <v>84.397122851936174</v>
      </c>
      <c r="AD34" s="82">
        <f>IF(AD20&gt;0,(Assumptions!$B$30-Assumptions!$B$33)*(1/Assumptions!$B$24)/AD20,0)</f>
        <v>80.973609026639167</v>
      </c>
      <c r="AE34" s="82">
        <f>IF(AE20&gt;0,(Assumptions!$B$30-Assumptions!$B$33)*(1/Assumptions!$B$24)/AE20,0)</f>
        <v>77.789728029273334</v>
      </c>
      <c r="AF34" s="82">
        <f>IF(AF20&gt;0,(Assumptions!$B$30-Assumptions!$B$33)*(1/Assumptions!$B$24)/AF20,0)</f>
        <v>74.822703018007218</v>
      </c>
      <c r="AG34" s="82">
        <f>IF(AG20&gt;0,(Assumptions!$B$30-Assumptions!$B$33)*(1/Assumptions!$B$24)/AG20,0)</f>
        <v>72.052290507628499</v>
      </c>
      <c r="AH34" s="82">
        <f>IF(AH20&gt;0,(Assumptions!$B$30-Assumptions!$B$33)*(1/Assumptions!$B$24)/AH20,0)</f>
        <v>69.457004540552816</v>
      </c>
      <c r="AI34" s="82">
        <f>IF(AI20&gt;0,(Assumptions!$B$30-Assumptions!$B$33)*(1/Assumptions!$B$24)/AI20,0)</f>
        <v>67.024335355348896</v>
      </c>
      <c r="AJ34" s="82">
        <f>IF(AJ20&gt;0,(Assumptions!$B$30-Assumptions!$B$33)*(1/Assumptions!$B$24)/AJ20,0)</f>
        <v>64.737308714899726</v>
      </c>
      <c r="AK34" s="82">
        <f>IF(AK20&gt;0,(Assumptions!$B$30-Assumptions!$B$33)*(1/Assumptions!$B$24)/AK20,0)</f>
        <v>62.585960805231437</v>
      </c>
      <c r="AL34" s="82">
        <f>IF(AL20&gt;0,(Assumptions!$B$30-Assumptions!$B$33)*(1/Assumptions!$B$24)/AL20,0)</f>
        <v>60.557868514499205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B82F6"/>
  </sheetPr>
  <dimension ref="A1:E72"/>
  <sheetViews>
    <sheetView workbookViewId="0">
      <selection activeCell="B11" sqref="B11"/>
    </sheetView>
  </sheetViews>
  <sheetFormatPr baseColWidth="10" defaultColWidth="8.83203125" defaultRowHeight="15" x14ac:dyDescent="0.2"/>
  <cols>
    <col min="1" max="1" width="35" customWidth="1"/>
    <col min="2" max="4" width="18" customWidth="1"/>
  </cols>
  <sheetData>
    <row r="1" spans="1:5" ht="18" x14ac:dyDescent="0.2">
      <c r="A1" s="1" t="s">
        <v>215</v>
      </c>
    </row>
    <row r="2" spans="1:5" x14ac:dyDescent="0.2">
      <c r="A2" s="2" t="s">
        <v>216</v>
      </c>
    </row>
    <row r="4" spans="1:5" x14ac:dyDescent="0.2">
      <c r="A4" s="3" t="s">
        <v>217</v>
      </c>
      <c r="B4" s="4"/>
      <c r="C4" s="4"/>
      <c r="D4" s="4"/>
      <c r="E4" s="4"/>
    </row>
    <row r="5" spans="1:5" x14ac:dyDescent="0.2">
      <c r="A5" s="6" t="s">
        <v>218</v>
      </c>
      <c r="B5" s="29">
        <f>Assumptions!B37</f>
        <v>10.85</v>
      </c>
    </row>
    <row r="6" spans="1:5" x14ac:dyDescent="0.2">
      <c r="A6" s="6" t="s">
        <v>219</v>
      </c>
      <c r="B6" s="31">
        <f>Assumptions!B37/(Assumptions!B29-Assumptions!B33)</f>
        <v>1.9979008230983115</v>
      </c>
      <c r="C6" s="16" t="s">
        <v>220</v>
      </c>
    </row>
    <row r="7" spans="1:5" x14ac:dyDescent="0.2">
      <c r="A7" s="6" t="s">
        <v>221</v>
      </c>
      <c r="B7" s="31">
        <f>Assumptions!B37/(Assumptions!B30-Assumptions!B33)</f>
        <v>0.65398084469009754</v>
      </c>
    </row>
    <row r="9" spans="1:5" x14ac:dyDescent="0.2">
      <c r="A9" s="3" t="s">
        <v>222</v>
      </c>
      <c r="B9" s="4"/>
      <c r="C9" s="4"/>
      <c r="D9" s="4"/>
      <c r="E9" s="4"/>
    </row>
    <row r="10" spans="1:5" x14ac:dyDescent="0.2">
      <c r="A10" s="6" t="s">
        <v>223</v>
      </c>
      <c r="B10" s="31">
        <f>1/Assumptions!B23</f>
        <v>20</v>
      </c>
      <c r="C10" s="16" t="s">
        <v>224</v>
      </c>
    </row>
    <row r="11" spans="1:5" x14ac:dyDescent="0.2">
      <c r="A11" s="6" t="s">
        <v>225</v>
      </c>
      <c r="B11" s="31">
        <f>1/Assumptions!B24</f>
        <v>33.333333333333336</v>
      </c>
    </row>
    <row r="12" spans="1:5" x14ac:dyDescent="0.2">
      <c r="A12" s="6" t="s">
        <v>226</v>
      </c>
      <c r="B12" s="28">
        <f>(Assumptions!B29-Assumptions!B33)*B10</f>
        <v>108.614</v>
      </c>
      <c r="C12" s="16" t="s">
        <v>227</v>
      </c>
    </row>
    <row r="13" spans="1:5" x14ac:dyDescent="0.2">
      <c r="A13" s="6" t="s">
        <v>228</v>
      </c>
      <c r="B13" s="28">
        <f>(Assumptions!B30-Assumptions!B33)*B11</f>
        <v>553.02333333333331</v>
      </c>
    </row>
    <row r="14" spans="1:5" x14ac:dyDescent="0.2">
      <c r="A14" s="17" t="s">
        <v>229</v>
      </c>
      <c r="B14" s="32">
        <f>B12/Assumptions!B37</f>
        <v>10.010506912442397</v>
      </c>
      <c r="C14" s="16" t="s">
        <v>230</v>
      </c>
    </row>
    <row r="15" spans="1:5" x14ac:dyDescent="0.2">
      <c r="A15" s="17" t="s">
        <v>231</v>
      </c>
      <c r="B15" s="32">
        <f>B13/Assumptions!B37</f>
        <v>50.969892473118279</v>
      </c>
    </row>
    <row r="17" spans="1:5" x14ac:dyDescent="0.2">
      <c r="A17" s="3" t="s">
        <v>232</v>
      </c>
      <c r="B17" s="4"/>
      <c r="C17" s="4"/>
      <c r="D17" s="4"/>
      <c r="E17" s="4"/>
    </row>
    <row r="18" spans="1:5" x14ac:dyDescent="0.2">
      <c r="A18" s="6" t="s">
        <v>233</v>
      </c>
      <c r="B18" s="29">
        <f>Assumptions!B29</f>
        <v>7.4306999999999999</v>
      </c>
    </row>
    <row r="19" spans="1:5" x14ac:dyDescent="0.2">
      <c r="A19" s="6" t="s">
        <v>234</v>
      </c>
      <c r="B19" s="29">
        <f>Assumptions!B33</f>
        <v>2</v>
      </c>
    </row>
    <row r="20" spans="1:5" x14ac:dyDescent="0.2">
      <c r="A20" s="17" t="s">
        <v>235</v>
      </c>
      <c r="B20" s="10">
        <f>B18-B19</f>
        <v>5.4306999999999999</v>
      </c>
    </row>
    <row r="21" spans="1:5" x14ac:dyDescent="0.2">
      <c r="A21" s="6" t="s">
        <v>236</v>
      </c>
      <c r="B21" s="23">
        <f>B20/B18</f>
        <v>0.73084635364097594</v>
      </c>
    </row>
    <row r="23" spans="1:5" x14ac:dyDescent="0.2">
      <c r="A23" s="6" t="s">
        <v>237</v>
      </c>
      <c r="B23" s="29">
        <f>Assumptions!B30</f>
        <v>18.590699999999998</v>
      </c>
    </row>
    <row r="24" spans="1:5" x14ac:dyDescent="0.2">
      <c r="A24" s="6" t="s">
        <v>238</v>
      </c>
      <c r="B24" s="29">
        <f>Assumptions!B33</f>
        <v>2</v>
      </c>
    </row>
    <row r="25" spans="1:5" x14ac:dyDescent="0.2">
      <c r="A25" s="17" t="s">
        <v>239</v>
      </c>
      <c r="B25" s="10">
        <f>B23-B24</f>
        <v>16.590699999999998</v>
      </c>
    </row>
    <row r="26" spans="1:5" x14ac:dyDescent="0.2">
      <c r="A26" s="6" t="s">
        <v>240</v>
      </c>
      <c r="B26" s="23">
        <f>B25/B23</f>
        <v>0.89241932794354162</v>
      </c>
    </row>
    <row r="28" spans="1:5" x14ac:dyDescent="0.2">
      <c r="A28" s="3" t="s">
        <v>241</v>
      </c>
      <c r="B28" s="33" t="s">
        <v>125</v>
      </c>
      <c r="C28" s="34" t="s">
        <v>137</v>
      </c>
      <c r="D28" s="34" t="s">
        <v>149</v>
      </c>
      <c r="E28" s="4"/>
    </row>
    <row r="29" spans="1:5" x14ac:dyDescent="0.2">
      <c r="A29" s="6" t="s">
        <v>172</v>
      </c>
      <c r="B29" s="21">
        <f>'User Growth'!N28</f>
        <v>172386</v>
      </c>
      <c r="C29" s="21">
        <f>'User Growth'!Z28</f>
        <v>450483</v>
      </c>
      <c r="D29" s="21">
        <f>'User Growth'!AL28</f>
        <v>763599</v>
      </c>
    </row>
    <row r="30" spans="1:5" x14ac:dyDescent="0.2">
      <c r="A30" s="6" t="s">
        <v>242</v>
      </c>
      <c r="B30" s="21">
        <f>'User Growth'!N29</f>
        <v>33672</v>
      </c>
      <c r="C30" s="21">
        <f>'User Growth'!Z29</f>
        <v>127804</v>
      </c>
      <c r="D30" s="21">
        <f>'User Growth'!AL29</f>
        <v>265175</v>
      </c>
    </row>
    <row r="31" spans="1:5" x14ac:dyDescent="0.2">
      <c r="A31" s="6" t="s">
        <v>174</v>
      </c>
      <c r="B31" s="30">
        <f>'User Growth'!N30</f>
        <v>0.19532908704883228</v>
      </c>
      <c r="C31" s="30">
        <f>'User Growth'!Z30</f>
        <v>0.28370437952153577</v>
      </c>
      <c r="D31" s="30">
        <f>'User Growth'!AL30</f>
        <v>0.34726996761389156</v>
      </c>
    </row>
    <row r="32" spans="1:5" x14ac:dyDescent="0.2">
      <c r="A32" s="17" t="s">
        <v>243</v>
      </c>
      <c r="B32" s="24">
        <f>Revenue!N8</f>
        <v>350222.45039999997</v>
      </c>
      <c r="C32" s="24">
        <f>Revenue!Z8</f>
        <v>1401028.2227999999</v>
      </c>
      <c r="D32" s="24">
        <f>Revenue!AL8</f>
        <v>3031361.2725</v>
      </c>
    </row>
    <row r="33" spans="1:5" x14ac:dyDescent="0.2">
      <c r="A33" s="17" t="s">
        <v>244</v>
      </c>
      <c r="B33" s="24">
        <f>Revenue!N9</f>
        <v>4202669.4047999997</v>
      </c>
      <c r="C33" s="24">
        <f>Revenue!Z9</f>
        <v>16812338.673599999</v>
      </c>
      <c r="D33" s="24">
        <f>Revenue!AL9</f>
        <v>36376335.269999996</v>
      </c>
    </row>
    <row r="34" spans="1:5" x14ac:dyDescent="0.2">
      <c r="A34" s="6" t="s">
        <v>212</v>
      </c>
      <c r="B34" s="30">
        <f>Costs!N22</f>
        <v>0.74829968810017777</v>
      </c>
      <c r="C34" s="30">
        <f>Costs!Z22</f>
        <v>0.78300947471819915</v>
      </c>
      <c r="D34" s="30">
        <f>Costs!AL22</f>
        <v>0.80038222250528535</v>
      </c>
    </row>
    <row r="35" spans="1:5" x14ac:dyDescent="0.2">
      <c r="A35" s="6" t="s">
        <v>245</v>
      </c>
      <c r="B35" s="30">
        <f>Costs!N24</f>
        <v>9.8268343336315182E-4</v>
      </c>
      <c r="C35" s="30">
        <f>Costs!Z24</f>
        <v>0.28675141625419653</v>
      </c>
      <c r="D35" s="30">
        <f>Costs!AL24</f>
        <v>0.43346842103426653</v>
      </c>
    </row>
    <row r="36" spans="1:5" x14ac:dyDescent="0.2">
      <c r="A36" t="s">
        <v>246</v>
      </c>
      <c r="B36">
        <f>Revenue!N19</f>
        <v>0.96914539373342778</v>
      </c>
      <c r="C36">
        <f>Revenue!Z19</f>
        <v>0.97112209904917568</v>
      </c>
      <c r="D36">
        <f>Revenue!AL19</f>
        <v>0.97160719378447913</v>
      </c>
    </row>
    <row r="38" spans="1:5" x14ac:dyDescent="0.2">
      <c r="A38" s="3" t="s">
        <v>247</v>
      </c>
      <c r="B38" s="4"/>
      <c r="C38" s="4"/>
      <c r="D38" s="4"/>
      <c r="E38" s="4"/>
    </row>
    <row r="39" spans="1:5" x14ac:dyDescent="0.2">
      <c r="A39" s="6" t="s">
        <v>248</v>
      </c>
      <c r="B39" s="13">
        <v>0.16</v>
      </c>
      <c r="C39" s="12" t="s">
        <v>249</v>
      </c>
    </row>
    <row r="40" spans="1:5" x14ac:dyDescent="0.2">
      <c r="A40" s="6" t="s">
        <v>250</v>
      </c>
      <c r="B40" s="13">
        <v>0.06</v>
      </c>
      <c r="C40" s="12" t="s">
        <v>251</v>
      </c>
    </row>
    <row r="41" spans="1:5" x14ac:dyDescent="0.2">
      <c r="A41" s="6" t="s">
        <v>252</v>
      </c>
      <c r="B41" s="23">
        <f>1-B39-B40</f>
        <v>0.78</v>
      </c>
    </row>
    <row r="43" spans="1:5" x14ac:dyDescent="0.2">
      <c r="A43" s="3" t="s">
        <v>253</v>
      </c>
      <c r="B43" s="4"/>
      <c r="C43" s="4"/>
      <c r="D43" s="4"/>
      <c r="E43" s="4"/>
    </row>
    <row r="44" spans="1:5" x14ac:dyDescent="0.2">
      <c r="A44" s="6" t="s">
        <v>254</v>
      </c>
      <c r="B44" s="35">
        <f>B39*Assumptions!$B$29+B40*Assumptions!$B$30</f>
        <v>2.304354</v>
      </c>
      <c r="C44" s="16" t="s">
        <v>255</v>
      </c>
    </row>
    <row r="45" spans="1:5" x14ac:dyDescent="0.2">
      <c r="A45" s="6" t="s">
        <v>256</v>
      </c>
      <c r="B45" s="35">
        <f>B41*Assumptions!$B$34+(B39+B40)*Assumptions!$B$33</f>
        <v>0.55699999999999994</v>
      </c>
      <c r="C45" s="16" t="s">
        <v>257</v>
      </c>
    </row>
    <row r="46" spans="1:5" x14ac:dyDescent="0.2">
      <c r="A46" s="6" t="s">
        <v>258</v>
      </c>
      <c r="B46" s="36">
        <f>B44*Assumptions!$B$62</f>
        <v>0.5760885</v>
      </c>
    </row>
    <row r="47" spans="1:5" x14ac:dyDescent="0.2">
      <c r="A47" s="17" t="s">
        <v>259</v>
      </c>
      <c r="B47" s="35">
        <f>B44-B45-B46</f>
        <v>1.1712655000000001</v>
      </c>
      <c r="C47" s="16" t="s">
        <v>260</v>
      </c>
    </row>
    <row r="49" spans="1:5" x14ac:dyDescent="0.2">
      <c r="A49" s="3" t="s">
        <v>261</v>
      </c>
      <c r="B49" s="4"/>
      <c r="C49" s="4"/>
      <c r="D49" s="4"/>
      <c r="E49" s="4"/>
    </row>
    <row r="50" spans="1:5" x14ac:dyDescent="0.2">
      <c r="A50" s="6" t="s">
        <v>262</v>
      </c>
      <c r="B50" s="24">
        <f>Assumptions!B48*Assumptions!$B$49/12</f>
        <v>112500</v>
      </c>
    </row>
    <row r="51" spans="1:5" x14ac:dyDescent="0.2">
      <c r="A51" s="6" t="s">
        <v>263</v>
      </c>
      <c r="B51" s="24">
        <f>Assumptions!$B$59+Assumptions!$B$60+Assumptions!$B$61+Assumptions!$B$63</f>
        <v>19000</v>
      </c>
    </row>
    <row r="52" spans="1:5" x14ac:dyDescent="0.2">
      <c r="A52" s="17" t="s">
        <v>264</v>
      </c>
      <c r="B52" s="28">
        <f>B50+B51</f>
        <v>131500</v>
      </c>
    </row>
    <row r="53" spans="1:5" x14ac:dyDescent="0.2">
      <c r="A53" s="17" t="s">
        <v>265</v>
      </c>
      <c r="B53" s="22">
        <f>IF(B47&gt;0,ROUND(B52/B47,0),"N/A")</f>
        <v>112272</v>
      </c>
      <c r="C53" s="16" t="s">
        <v>266</v>
      </c>
    </row>
    <row r="55" spans="1:5" x14ac:dyDescent="0.2">
      <c r="A55" s="6" t="s">
        <v>267</v>
      </c>
      <c r="B55" s="24">
        <f>Assumptions!C48*Assumptions!$B$49/12</f>
        <v>150000</v>
      </c>
    </row>
    <row r="56" spans="1:5" x14ac:dyDescent="0.2">
      <c r="A56" s="6" t="s">
        <v>268</v>
      </c>
      <c r="B56" s="24">
        <f>Assumptions!$B$59+Assumptions!$B$60+Assumptions!$B$61+Assumptions!$B$63</f>
        <v>19000</v>
      </c>
    </row>
    <row r="57" spans="1:5" x14ac:dyDescent="0.2">
      <c r="A57" s="17" t="s">
        <v>269</v>
      </c>
      <c r="B57" s="28">
        <f>B55+B56</f>
        <v>169000</v>
      </c>
    </row>
    <row r="58" spans="1:5" x14ac:dyDescent="0.2">
      <c r="A58" s="17" t="s">
        <v>270</v>
      </c>
      <c r="B58" s="22">
        <f>IF(B47&gt;0,ROUND(B57/B47,0),"N/A")</f>
        <v>144288</v>
      </c>
      <c r="C58" s="16" t="s">
        <v>271</v>
      </c>
    </row>
    <row r="60" spans="1:5" x14ac:dyDescent="0.2">
      <c r="A60" s="6" t="s">
        <v>272</v>
      </c>
      <c r="B60" s="24">
        <f>Assumptions!D48*Assumptions!$B$49/12</f>
        <v>312500</v>
      </c>
    </row>
    <row r="61" spans="1:5" x14ac:dyDescent="0.2">
      <c r="A61" s="6" t="s">
        <v>273</v>
      </c>
      <c r="B61" s="24">
        <f>Assumptions!$B$59+Assumptions!$B$60+Assumptions!$B$61+Assumptions!$B$63</f>
        <v>19000</v>
      </c>
    </row>
    <row r="62" spans="1:5" x14ac:dyDescent="0.2">
      <c r="A62" s="17" t="s">
        <v>274</v>
      </c>
      <c r="B62" s="28">
        <f>B60+B61</f>
        <v>331500</v>
      </c>
    </row>
    <row r="63" spans="1:5" x14ac:dyDescent="0.2">
      <c r="A63" s="17" t="s">
        <v>275</v>
      </c>
      <c r="B63" s="22">
        <f>IF(B47&gt;0,ROUND(B62/B47,0),"N/A")</f>
        <v>283027</v>
      </c>
    </row>
    <row r="65" spans="1:5" x14ac:dyDescent="0.2">
      <c r="A65" s="3" t="s">
        <v>276</v>
      </c>
      <c r="B65" s="4"/>
      <c r="C65" s="4"/>
      <c r="D65" s="4"/>
      <c r="E65" s="4"/>
    </row>
    <row r="66" spans="1:5" x14ac:dyDescent="0.2">
      <c r="A66" s="6" t="s">
        <v>277</v>
      </c>
      <c r="B66" s="37">
        <f>SUMPRODUCT(--(Costs!C23:AL23&lt;0))</f>
        <v>11</v>
      </c>
    </row>
    <row r="67" spans="1:5" x14ac:dyDescent="0.2">
      <c r="A67" s="17" t="s">
        <v>278</v>
      </c>
      <c r="B67" s="37">
        <f>B66+1</f>
        <v>12</v>
      </c>
      <c r="C67" s="16" t="s">
        <v>279</v>
      </c>
    </row>
    <row r="68" spans="1:5" x14ac:dyDescent="0.2">
      <c r="A68" s="17" t="s">
        <v>280</v>
      </c>
      <c r="B68" s="21">
        <f>INDEX('User Growth'!C28:AL28,1,B67)</f>
        <v>172386</v>
      </c>
      <c r="C68" s="16" t="s">
        <v>281</v>
      </c>
    </row>
    <row r="69" spans="1:5" x14ac:dyDescent="0.2">
      <c r="A69" s="6" t="s">
        <v>282</v>
      </c>
      <c r="B69" s="21">
        <f>INDEX('User Growth'!C29:AL29,1,B67)</f>
        <v>33672</v>
      </c>
    </row>
    <row r="70" spans="1:5" x14ac:dyDescent="0.2">
      <c r="A70" s="6" t="s">
        <v>283</v>
      </c>
      <c r="B70" s="23">
        <f>IF(B68&gt;0,B69/B68,0)</f>
        <v>0.19532908704883228</v>
      </c>
    </row>
    <row r="71" spans="1:5" x14ac:dyDescent="0.2">
      <c r="A71" s="6" t="s">
        <v>284</v>
      </c>
      <c r="B71" s="24">
        <f>INDEX(Revenue!C8:AL8,1,B67)</f>
        <v>350222.45039999997</v>
      </c>
    </row>
    <row r="72" spans="1:5" x14ac:dyDescent="0.2">
      <c r="A72" s="6" t="s">
        <v>285</v>
      </c>
      <c r="B72" s="28">
        <f>B71*12</f>
        <v>4202669.4047999997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F4444"/>
  </sheetPr>
  <dimension ref="A1:AL21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0" customWidth="1"/>
    <col min="2" max="2" width="8" customWidth="1"/>
    <col min="3" max="38" width="14" customWidth="1"/>
  </cols>
  <sheetData>
    <row r="1" spans="1:38" ht="18" x14ac:dyDescent="0.2">
      <c r="A1" s="1" t="s">
        <v>286</v>
      </c>
    </row>
    <row r="2" spans="1:38" x14ac:dyDescent="0.2">
      <c r="A2" s="2" t="s">
        <v>287</v>
      </c>
    </row>
    <row r="4" spans="1:38" x14ac:dyDescent="0.2">
      <c r="A4" s="19" t="s">
        <v>112</v>
      </c>
      <c r="B4" s="19" t="s">
        <v>113</v>
      </c>
      <c r="C4" s="20" t="s">
        <v>114</v>
      </c>
      <c r="D4" s="20" t="s">
        <v>115</v>
      </c>
      <c r="E4" s="20" t="s">
        <v>116</v>
      </c>
      <c r="F4" s="20" t="s">
        <v>117</v>
      </c>
      <c r="G4" s="20" t="s">
        <v>118</v>
      </c>
      <c r="H4" s="20" t="s">
        <v>119</v>
      </c>
      <c r="I4" s="20" t="s">
        <v>120</v>
      </c>
      <c r="J4" s="20" t="s">
        <v>121</v>
      </c>
      <c r="K4" s="20" t="s">
        <v>122</v>
      </c>
      <c r="L4" s="20" t="s">
        <v>123</v>
      </c>
      <c r="M4" s="20" t="s">
        <v>124</v>
      </c>
      <c r="N4" s="20" t="s">
        <v>125</v>
      </c>
      <c r="O4" s="20" t="s">
        <v>126</v>
      </c>
      <c r="P4" s="20" t="s">
        <v>127</v>
      </c>
      <c r="Q4" s="20" t="s">
        <v>128</v>
      </c>
      <c r="R4" s="20" t="s">
        <v>129</v>
      </c>
      <c r="S4" s="20" t="s">
        <v>130</v>
      </c>
      <c r="T4" s="20" t="s">
        <v>131</v>
      </c>
      <c r="U4" s="20" t="s">
        <v>132</v>
      </c>
      <c r="V4" s="20" t="s">
        <v>133</v>
      </c>
      <c r="W4" s="20" t="s">
        <v>134</v>
      </c>
      <c r="X4" s="20" t="s">
        <v>135</v>
      </c>
      <c r="Y4" s="20" t="s">
        <v>136</v>
      </c>
      <c r="Z4" s="20" t="s">
        <v>137</v>
      </c>
      <c r="AA4" s="20" t="s">
        <v>138</v>
      </c>
      <c r="AB4" s="20" t="s">
        <v>139</v>
      </c>
      <c r="AC4" s="20" t="s">
        <v>140</v>
      </c>
      <c r="AD4" s="20" t="s">
        <v>141</v>
      </c>
      <c r="AE4" s="20" t="s">
        <v>142</v>
      </c>
      <c r="AF4" s="20" t="s">
        <v>143</v>
      </c>
      <c r="AG4" s="20" t="s">
        <v>144</v>
      </c>
      <c r="AH4" s="20" t="s">
        <v>145</v>
      </c>
      <c r="AI4" s="20" t="s">
        <v>146</v>
      </c>
      <c r="AJ4" s="20" t="s">
        <v>147</v>
      </c>
      <c r="AK4" s="20" t="s">
        <v>148</v>
      </c>
      <c r="AL4" s="20" t="s">
        <v>149</v>
      </c>
    </row>
    <row r="5" spans="1:38" x14ac:dyDescent="0.2">
      <c r="A5" s="3" t="s">
        <v>288</v>
      </c>
      <c r="B5" s="4"/>
      <c r="C5" s="4"/>
      <c r="D5" s="4"/>
      <c r="E5" s="4"/>
    </row>
    <row r="6" spans="1:38" x14ac:dyDescent="0.2">
      <c r="A6" s="6" t="s">
        <v>289</v>
      </c>
      <c r="B6" s="6" t="s">
        <v>180</v>
      </c>
      <c r="C6" s="24">
        <f>Revenue!C16</f>
        <v>4184.7116999999998</v>
      </c>
      <c r="D6" s="24">
        <f>Revenue!D16</f>
        <v>12650.8737</v>
      </c>
      <c r="E6" s="24">
        <f>Revenue!E16</f>
        <v>25454.286</v>
      </c>
      <c r="F6" s="24">
        <f>Revenue!F16</f>
        <v>42702.819300000003</v>
      </c>
      <c r="G6" s="24">
        <f>Revenue!G16</f>
        <v>64470.864300000001</v>
      </c>
      <c r="H6" s="24">
        <f>Revenue!H16</f>
        <v>90851.402399999992</v>
      </c>
      <c r="I6" s="24">
        <f>Revenue!I16</f>
        <v>121922.55359999998</v>
      </c>
      <c r="J6" s="24">
        <f>Revenue!J16</f>
        <v>157781.0007</v>
      </c>
      <c r="K6" s="24">
        <f>Revenue!K16</f>
        <v>198486.27299999999</v>
      </c>
      <c r="L6" s="24">
        <f>Revenue!L16</f>
        <v>244094.17050000001</v>
      </c>
      <c r="M6" s="24">
        <f>Revenue!M16</f>
        <v>294660.49320000003</v>
      </c>
      <c r="N6" s="24">
        <f>Revenue!N16</f>
        <v>350222.45039999997</v>
      </c>
      <c r="O6" s="24">
        <f>Revenue!O16</f>
        <v>410806.11930000002</v>
      </c>
      <c r="P6" s="24">
        <f>Revenue!P16</f>
        <v>476430.11849999998</v>
      </c>
      <c r="Q6" s="24">
        <f>Revenue!Q16</f>
        <v>547064.75309999997</v>
      </c>
      <c r="R6" s="24">
        <f>Revenue!R16</f>
        <v>622732.37099999993</v>
      </c>
      <c r="S6" s="24">
        <f>Revenue!S16</f>
        <v>703366.09589999996</v>
      </c>
      <c r="T6" s="24">
        <f>Revenue!T16</f>
        <v>788921.37150000001</v>
      </c>
      <c r="U6" s="24">
        <f>Revenue!U16</f>
        <v>879342.48149999999</v>
      </c>
      <c r="V6" s="24">
        <f>Revenue!V16</f>
        <v>974536.52819999994</v>
      </c>
      <c r="W6" s="24">
        <f>Revenue!W16</f>
        <v>1074432.9338999998</v>
      </c>
      <c r="X6" s="24">
        <f>Revenue!X16</f>
        <v>1178897.9180999999</v>
      </c>
      <c r="Y6" s="24">
        <f>Revenue!Y16</f>
        <v>1287812.5617</v>
      </c>
      <c r="Z6" s="24">
        <f>Revenue!Z16</f>
        <v>1401028.2227999999</v>
      </c>
      <c r="AA6" s="24">
        <f>Revenue!AA16</f>
        <v>1518418.5515999999</v>
      </c>
      <c r="AB6" s="24">
        <f>Revenue!AB16</f>
        <v>1639808.8847999999</v>
      </c>
      <c r="AC6" s="24">
        <f>Revenue!AC16</f>
        <v>1765017.1004999999</v>
      </c>
      <c r="AD6" s="24">
        <f>Revenue!AD16</f>
        <v>1893868.5353999999</v>
      </c>
      <c r="AE6" s="24">
        <f>Revenue!AE16</f>
        <v>2026181.0675999997</v>
      </c>
      <c r="AF6" s="24">
        <f>Revenue!AF16</f>
        <v>2161724.2616999997</v>
      </c>
      <c r="AG6" s="24">
        <f>Revenue!AG16</f>
        <v>2300319.7250999999</v>
      </c>
      <c r="AH6" s="24">
        <f>Revenue!AH16</f>
        <v>2441751.8838</v>
      </c>
      <c r="AI6" s="24">
        <f>Revenue!AI16</f>
        <v>2585790.3023999999</v>
      </c>
      <c r="AJ6" s="24">
        <f>Revenue!AJ16</f>
        <v>2732223.1082999995</v>
      </c>
      <c r="AK6" s="24">
        <f>Revenue!AK16</f>
        <v>2880819.8660999998</v>
      </c>
      <c r="AL6" s="24">
        <f>Revenue!AL16</f>
        <v>3031361.2725</v>
      </c>
    </row>
    <row r="7" spans="1:38" x14ac:dyDescent="0.2">
      <c r="A7" s="6" t="s">
        <v>210</v>
      </c>
      <c r="B7" s="6" t="s">
        <v>180</v>
      </c>
      <c r="C7" s="24">
        <f>Costs!C20</f>
        <v>139032.37</v>
      </c>
      <c r="D7" s="24">
        <f>Costs!D20</f>
        <v>142507.97</v>
      </c>
      <c r="E7" s="24">
        <f>Costs!E20</f>
        <v>148294.15149999998</v>
      </c>
      <c r="F7" s="24">
        <f>Costs!F20</f>
        <v>157979.91482500001</v>
      </c>
      <c r="G7" s="24">
        <f>Costs!G20</f>
        <v>169750.40607500001</v>
      </c>
      <c r="H7" s="24">
        <f>Costs!H20</f>
        <v>183633.4706</v>
      </c>
      <c r="I7" s="24">
        <f>Costs!I20</f>
        <v>237148.6384</v>
      </c>
      <c r="J7" s="24">
        <f>Costs!J20</f>
        <v>255326.40017500002</v>
      </c>
      <c r="K7" s="24">
        <f>Costs!K20</f>
        <v>275678.16824999999</v>
      </c>
      <c r="L7" s="24">
        <f>Costs!L20</f>
        <v>298214.83262499998</v>
      </c>
      <c r="M7" s="24">
        <f>Costs!M20</f>
        <v>322947.10330000002</v>
      </c>
      <c r="N7" s="24">
        <f>Costs!N20</f>
        <v>349878.29260000004</v>
      </c>
      <c r="O7" s="24">
        <f>Costs!O20</f>
        <v>379002.29982499999</v>
      </c>
      <c r="P7" s="24">
        <f>Costs!P20</f>
        <v>410314.319625</v>
      </c>
      <c r="Q7" s="24">
        <f>Costs!Q20</f>
        <v>443787.67827499995</v>
      </c>
      <c r="R7" s="24">
        <f>Costs!R20</f>
        <v>479415.93274999998</v>
      </c>
      <c r="S7" s="24">
        <f>Costs!S20</f>
        <v>517157.79397499998</v>
      </c>
      <c r="T7" s="24">
        <f>Costs!T20</f>
        <v>556977.55287500005</v>
      </c>
      <c r="U7" s="24">
        <f>Costs!U20</f>
        <v>761336.53037500009</v>
      </c>
      <c r="V7" s="24">
        <f>Costs!V20</f>
        <v>805182.69205000007</v>
      </c>
      <c r="W7" s="24">
        <f>Costs!W20</f>
        <v>850969.04347499995</v>
      </c>
      <c r="X7" s="24">
        <f>Costs!X20</f>
        <v>898625.38952499989</v>
      </c>
      <c r="Y7" s="24">
        <f>Costs!Y20</f>
        <v>948088.95042500005</v>
      </c>
      <c r="Z7" s="24">
        <f>Costs!Z20</f>
        <v>999281.39569999988</v>
      </c>
      <c r="AA7" s="24">
        <f>Costs!AA20</f>
        <v>1052136.5978999999</v>
      </c>
      <c r="AB7" s="24">
        <f>Costs!AB20</f>
        <v>1106566.0211999998</v>
      </c>
      <c r="AC7" s="24">
        <f>Costs!AC20</f>
        <v>1162484.0451250002</v>
      </c>
      <c r="AD7" s="24">
        <f>Costs!AD20</f>
        <v>1219802.49385</v>
      </c>
      <c r="AE7" s="24">
        <f>Costs!AE20</f>
        <v>1278435.9268999998</v>
      </c>
      <c r="AF7" s="24">
        <f>Costs!AF20</f>
        <v>1338277.0354249999</v>
      </c>
      <c r="AG7" s="24">
        <f>Costs!AG20</f>
        <v>1399240.0012750002</v>
      </c>
      <c r="AH7" s="24">
        <f>Costs!AH20</f>
        <v>1461225.6509499999</v>
      </c>
      <c r="AI7" s="24">
        <f>Costs!AI20</f>
        <v>1524128.1156000001</v>
      </c>
      <c r="AJ7" s="24">
        <f>Costs!AJ20</f>
        <v>1587853.7470749998</v>
      </c>
      <c r="AK7" s="24">
        <f>Costs!AK20</f>
        <v>1652297.2165250001</v>
      </c>
      <c r="AL7" s="24">
        <f>Costs!AL20</f>
        <v>1717361.8881250001</v>
      </c>
    </row>
    <row r="8" spans="1:38" x14ac:dyDescent="0.2">
      <c r="A8" s="17" t="s">
        <v>290</v>
      </c>
      <c r="B8" s="17" t="s">
        <v>180</v>
      </c>
      <c r="C8" s="27">
        <f t="shared" ref="C8:AL8" si="0">C6-C7</f>
        <v>-134847.65830000001</v>
      </c>
      <c r="D8" s="27">
        <f t="shared" si="0"/>
        <v>-129857.0963</v>
      </c>
      <c r="E8" s="27">
        <f t="shared" si="0"/>
        <v>-122839.86549999999</v>
      </c>
      <c r="F8" s="27">
        <f t="shared" si="0"/>
        <v>-115277.09552500001</v>
      </c>
      <c r="G8" s="27">
        <f t="shared" si="0"/>
        <v>-105279.54177500001</v>
      </c>
      <c r="H8" s="27">
        <f t="shared" si="0"/>
        <v>-92782.068200000009</v>
      </c>
      <c r="I8" s="27">
        <f t="shared" si="0"/>
        <v>-115226.08480000001</v>
      </c>
      <c r="J8" s="27">
        <f t="shared" si="0"/>
        <v>-97545.399475000013</v>
      </c>
      <c r="K8" s="27">
        <f t="shared" si="0"/>
        <v>-77191.895250000001</v>
      </c>
      <c r="L8" s="27">
        <f t="shared" si="0"/>
        <v>-54120.662124999973</v>
      </c>
      <c r="M8" s="27">
        <f t="shared" si="0"/>
        <v>-28286.610099999991</v>
      </c>
      <c r="N8" s="27">
        <f t="shared" si="0"/>
        <v>344.1577999999281</v>
      </c>
      <c r="O8" s="27">
        <f t="shared" si="0"/>
        <v>31803.819475000026</v>
      </c>
      <c r="P8" s="27">
        <f t="shared" si="0"/>
        <v>66115.798874999979</v>
      </c>
      <c r="Q8" s="27">
        <f t="shared" si="0"/>
        <v>103277.07482500002</v>
      </c>
      <c r="R8" s="27">
        <f t="shared" si="0"/>
        <v>143316.43824999995</v>
      </c>
      <c r="S8" s="27">
        <f t="shared" si="0"/>
        <v>186208.30192499998</v>
      </c>
      <c r="T8" s="27">
        <f t="shared" si="0"/>
        <v>231943.81862499996</v>
      </c>
      <c r="U8" s="27">
        <f t="shared" si="0"/>
        <v>118005.95112499991</v>
      </c>
      <c r="V8" s="27">
        <f t="shared" si="0"/>
        <v>169353.83614999987</v>
      </c>
      <c r="W8" s="27">
        <f t="shared" si="0"/>
        <v>223463.89042499987</v>
      </c>
      <c r="X8" s="27">
        <f t="shared" si="0"/>
        <v>280272.528575</v>
      </c>
      <c r="Y8" s="27">
        <f t="shared" si="0"/>
        <v>339723.61127499992</v>
      </c>
      <c r="Z8" s="27">
        <f t="shared" si="0"/>
        <v>401746.82709999999</v>
      </c>
      <c r="AA8" s="27">
        <f t="shared" si="0"/>
        <v>466281.95369999995</v>
      </c>
      <c r="AB8" s="27">
        <f t="shared" si="0"/>
        <v>533242.86360000004</v>
      </c>
      <c r="AC8" s="27">
        <f t="shared" si="0"/>
        <v>602533.05537499976</v>
      </c>
      <c r="AD8" s="27">
        <f t="shared" si="0"/>
        <v>674066.04154999997</v>
      </c>
      <c r="AE8" s="27">
        <f t="shared" si="0"/>
        <v>747745.14069999987</v>
      </c>
      <c r="AF8" s="27">
        <f t="shared" si="0"/>
        <v>823447.22627499979</v>
      </c>
      <c r="AG8" s="27">
        <f t="shared" si="0"/>
        <v>901079.72382499976</v>
      </c>
      <c r="AH8" s="27">
        <f t="shared" si="0"/>
        <v>980526.23285000003</v>
      </c>
      <c r="AI8" s="27">
        <f t="shared" si="0"/>
        <v>1061662.1867999998</v>
      </c>
      <c r="AJ8" s="27">
        <f t="shared" si="0"/>
        <v>1144369.3612249997</v>
      </c>
      <c r="AK8" s="27">
        <f t="shared" si="0"/>
        <v>1228522.6495749997</v>
      </c>
      <c r="AL8" s="27">
        <f t="shared" si="0"/>
        <v>1313999.3843749999</v>
      </c>
    </row>
    <row r="9" spans="1:38" x14ac:dyDescent="0.2">
      <c r="A9" s="3" t="s">
        <v>291</v>
      </c>
      <c r="B9" s="4"/>
      <c r="C9" s="4"/>
      <c r="D9" s="4"/>
      <c r="E9" s="4"/>
    </row>
    <row r="10" spans="1:38" x14ac:dyDescent="0.2">
      <c r="A10" s="6" t="s">
        <v>292</v>
      </c>
      <c r="B10" s="6" t="s">
        <v>180</v>
      </c>
      <c r="C10" s="24">
        <f>Assumptions!B52</f>
        <v>5000000</v>
      </c>
      <c r="D10" s="28">
        <f>0</f>
        <v>0</v>
      </c>
      <c r="E10" s="28">
        <f>0</f>
        <v>0</v>
      </c>
      <c r="F10" s="28">
        <f>0</f>
        <v>0</v>
      </c>
      <c r="G10" s="28">
        <f>0</f>
        <v>0</v>
      </c>
      <c r="H10" s="28">
        <f>0</f>
        <v>0</v>
      </c>
      <c r="I10" s="28">
        <f>0</f>
        <v>0</v>
      </c>
      <c r="J10" s="28">
        <f>0</f>
        <v>0</v>
      </c>
      <c r="K10" s="28">
        <f>0</f>
        <v>0</v>
      </c>
      <c r="L10" s="28">
        <f>0</f>
        <v>0</v>
      </c>
      <c r="M10" s="28">
        <f>0</f>
        <v>0</v>
      </c>
      <c r="N10" s="28">
        <f>0</f>
        <v>0</v>
      </c>
      <c r="O10" s="28">
        <f>0</f>
        <v>0</v>
      </c>
      <c r="P10" s="28">
        <f>0</f>
        <v>0</v>
      </c>
      <c r="Q10" s="28">
        <f>0</f>
        <v>0</v>
      </c>
      <c r="R10" s="28">
        <f>0</f>
        <v>0</v>
      </c>
      <c r="S10" s="28">
        <f>0</f>
        <v>0</v>
      </c>
      <c r="T10" s="28">
        <f>0</f>
        <v>0</v>
      </c>
      <c r="U10" s="28">
        <f>0</f>
        <v>0</v>
      </c>
      <c r="V10" s="28">
        <f>0</f>
        <v>0</v>
      </c>
      <c r="W10" s="28">
        <f>0</f>
        <v>0</v>
      </c>
      <c r="X10" s="28">
        <f>0</f>
        <v>0</v>
      </c>
      <c r="Y10" s="28">
        <f>0</f>
        <v>0</v>
      </c>
      <c r="Z10" s="28">
        <f>0</f>
        <v>0</v>
      </c>
      <c r="AA10" s="28">
        <f>0</f>
        <v>0</v>
      </c>
      <c r="AB10" s="28">
        <f>0</f>
        <v>0</v>
      </c>
      <c r="AC10" s="28">
        <f>0</f>
        <v>0</v>
      </c>
      <c r="AD10" s="28">
        <f>0</f>
        <v>0</v>
      </c>
      <c r="AE10" s="28">
        <f>0</f>
        <v>0</v>
      </c>
      <c r="AF10" s="28">
        <f>0</f>
        <v>0</v>
      </c>
      <c r="AG10" s="28">
        <f>0</f>
        <v>0</v>
      </c>
      <c r="AH10" s="28">
        <f>0</f>
        <v>0</v>
      </c>
      <c r="AI10" s="28">
        <f>0</f>
        <v>0</v>
      </c>
      <c r="AJ10" s="28">
        <f>0</f>
        <v>0</v>
      </c>
      <c r="AK10" s="28">
        <f>0</f>
        <v>0</v>
      </c>
      <c r="AL10" s="28">
        <f>0</f>
        <v>0</v>
      </c>
    </row>
    <row r="11" spans="1:38" x14ac:dyDescent="0.2">
      <c r="A11" s="6" t="s">
        <v>293</v>
      </c>
      <c r="B11" s="6" t="s">
        <v>180</v>
      </c>
      <c r="C11" s="28">
        <f>0</f>
        <v>0</v>
      </c>
      <c r="D11" s="24">
        <f>IF(AND(Revenue!D8&gt;=Assumptions!$B$56, Revenue!C8&lt;Assumptions!$B$56), Assumptions!$B$54, 0)</f>
        <v>0</v>
      </c>
      <c r="E11" s="24">
        <f>IF(AND(Revenue!E8&gt;=Assumptions!$B$56, Revenue!D8&lt;Assumptions!$B$56), Assumptions!$B$54, 0)</f>
        <v>0</v>
      </c>
      <c r="F11" s="24">
        <f>IF(AND(Revenue!F8&gt;=Assumptions!$B$56, Revenue!E8&lt;Assumptions!$B$56), Assumptions!$B$54, 0)</f>
        <v>0</v>
      </c>
      <c r="G11" s="24">
        <f>IF(AND(Revenue!G8&gt;=Assumptions!$B$56, Revenue!F8&lt;Assumptions!$B$56), Assumptions!$B$54, 0)</f>
        <v>0</v>
      </c>
      <c r="H11" s="24">
        <f>IF(AND(Revenue!H8&gt;=Assumptions!$B$56, Revenue!G8&lt;Assumptions!$B$56), Assumptions!$B$54, 0)</f>
        <v>0</v>
      </c>
      <c r="I11" s="24">
        <f>IF(AND(Revenue!I8&gt;=Assumptions!$B$56, Revenue!H8&lt;Assumptions!$B$56), Assumptions!$B$54, 0)</f>
        <v>0</v>
      </c>
      <c r="J11" s="24">
        <f>IF(AND(Revenue!J8&gt;=Assumptions!$B$56, Revenue!I8&lt;Assumptions!$B$56), Assumptions!$B$54, 0)</f>
        <v>0</v>
      </c>
      <c r="K11" s="24">
        <f>IF(AND(Revenue!K8&gt;=Assumptions!$B$56, Revenue!J8&lt;Assumptions!$B$56), Assumptions!$B$54, 0)</f>
        <v>0</v>
      </c>
      <c r="L11" s="24">
        <f>IF(AND(Revenue!L8&gt;=Assumptions!$B$56, Revenue!K8&lt;Assumptions!$B$56), Assumptions!$B$54, 0)</f>
        <v>0</v>
      </c>
      <c r="M11" s="24">
        <f>IF(AND(Revenue!M8&gt;=Assumptions!$B$56, Revenue!L8&lt;Assumptions!$B$56), Assumptions!$B$54, 0)</f>
        <v>0</v>
      </c>
      <c r="N11" s="24">
        <f>IF(AND(Revenue!N8&gt;=Assumptions!$B$56, Revenue!M8&lt;Assumptions!$B$56), Assumptions!$B$54, 0)</f>
        <v>20000000</v>
      </c>
      <c r="O11" s="24">
        <f>IF(AND(Revenue!O8&gt;=Assumptions!$B$56, Revenue!N8&lt;Assumptions!$B$56), Assumptions!$B$54, 0)</f>
        <v>0</v>
      </c>
      <c r="P11" s="24">
        <f>IF(AND(Revenue!P8&gt;=Assumptions!$B$56, Revenue!O8&lt;Assumptions!$B$56), Assumptions!$B$54, 0)</f>
        <v>0</v>
      </c>
      <c r="Q11" s="24">
        <f>IF(AND(Revenue!Q8&gt;=Assumptions!$B$56, Revenue!P8&lt;Assumptions!$B$56), Assumptions!$B$54, 0)</f>
        <v>0</v>
      </c>
      <c r="R11" s="24">
        <f>IF(AND(Revenue!R8&gt;=Assumptions!$B$56, Revenue!Q8&lt;Assumptions!$B$56), Assumptions!$B$54, 0)</f>
        <v>0</v>
      </c>
      <c r="S11" s="24">
        <f>IF(AND(Revenue!S8&gt;=Assumptions!$B$56, Revenue!R8&lt;Assumptions!$B$56), Assumptions!$B$54, 0)</f>
        <v>0</v>
      </c>
      <c r="T11" s="24">
        <f>IF(AND(Revenue!T8&gt;=Assumptions!$B$56, Revenue!S8&lt;Assumptions!$B$56), Assumptions!$B$54, 0)</f>
        <v>0</v>
      </c>
      <c r="U11" s="24">
        <f>IF(AND(Revenue!U8&gt;=Assumptions!$B$56, Revenue!T8&lt;Assumptions!$B$56), Assumptions!$B$54, 0)</f>
        <v>0</v>
      </c>
      <c r="V11" s="24">
        <f>IF(AND(Revenue!V8&gt;=Assumptions!$B$56, Revenue!U8&lt;Assumptions!$B$56), Assumptions!$B$54, 0)</f>
        <v>0</v>
      </c>
      <c r="W11" s="24">
        <f>IF(AND(Revenue!W8&gt;=Assumptions!$B$56, Revenue!V8&lt;Assumptions!$B$56), Assumptions!$B$54, 0)</f>
        <v>0</v>
      </c>
      <c r="X11" s="24">
        <f>IF(AND(Revenue!X8&gt;=Assumptions!$B$56, Revenue!W8&lt;Assumptions!$B$56), Assumptions!$B$54, 0)</f>
        <v>0</v>
      </c>
      <c r="Y11" s="24">
        <f>IF(AND(Revenue!Y8&gt;=Assumptions!$B$56, Revenue!X8&lt;Assumptions!$B$56), Assumptions!$B$54, 0)</f>
        <v>0</v>
      </c>
      <c r="Z11" s="24">
        <f>IF(AND(Revenue!Z8&gt;=Assumptions!$B$56, Revenue!Y8&lt;Assumptions!$B$56), Assumptions!$B$54, 0)</f>
        <v>0</v>
      </c>
      <c r="AA11" s="24">
        <f>IF(AND(Revenue!AA8&gt;=Assumptions!$B$56, Revenue!Z8&lt;Assumptions!$B$56), Assumptions!$B$54, 0)</f>
        <v>0</v>
      </c>
      <c r="AB11" s="24">
        <f>IF(AND(Revenue!AB8&gt;=Assumptions!$B$56, Revenue!AA8&lt;Assumptions!$B$56), Assumptions!$B$54, 0)</f>
        <v>0</v>
      </c>
      <c r="AC11" s="24">
        <f>IF(AND(Revenue!AC8&gt;=Assumptions!$B$56, Revenue!AB8&lt;Assumptions!$B$56), Assumptions!$B$54, 0)</f>
        <v>0</v>
      </c>
      <c r="AD11" s="24">
        <f>IF(AND(Revenue!AD8&gt;=Assumptions!$B$56, Revenue!AC8&lt;Assumptions!$B$56), Assumptions!$B$54, 0)</f>
        <v>0</v>
      </c>
      <c r="AE11" s="24">
        <f>IF(AND(Revenue!AE8&gt;=Assumptions!$B$56, Revenue!AD8&lt;Assumptions!$B$56), Assumptions!$B$54, 0)</f>
        <v>0</v>
      </c>
      <c r="AF11" s="24">
        <f>IF(AND(Revenue!AF8&gt;=Assumptions!$B$56, Revenue!AE8&lt;Assumptions!$B$56), Assumptions!$B$54, 0)</f>
        <v>0</v>
      </c>
      <c r="AG11" s="24">
        <f>IF(AND(Revenue!AG8&gt;=Assumptions!$B$56, Revenue!AF8&lt;Assumptions!$B$56), Assumptions!$B$54, 0)</f>
        <v>0</v>
      </c>
      <c r="AH11" s="24">
        <f>IF(AND(Revenue!AH8&gt;=Assumptions!$B$56, Revenue!AG8&lt;Assumptions!$B$56), Assumptions!$B$54, 0)</f>
        <v>0</v>
      </c>
      <c r="AI11" s="24">
        <f>IF(AND(Revenue!AI8&gt;=Assumptions!$B$56, Revenue!AH8&lt;Assumptions!$B$56), Assumptions!$B$54, 0)</f>
        <v>0</v>
      </c>
      <c r="AJ11" s="24">
        <f>IF(AND(Revenue!AJ8&gt;=Assumptions!$B$56, Revenue!AI8&lt;Assumptions!$B$56), Assumptions!$B$54, 0)</f>
        <v>0</v>
      </c>
      <c r="AK11" s="24">
        <f>IF(AND(Revenue!AK8&gt;=Assumptions!$B$56, Revenue!AJ8&lt;Assumptions!$B$56), Assumptions!$B$54, 0)</f>
        <v>0</v>
      </c>
      <c r="AL11" s="24">
        <f>IF(AND(Revenue!AL8&gt;=Assumptions!$B$56, Revenue!AK8&lt;Assumptions!$B$56), Assumptions!$B$54, 0)</f>
        <v>0</v>
      </c>
    </row>
    <row r="12" spans="1:38" x14ac:dyDescent="0.2">
      <c r="A12" s="17" t="s">
        <v>294</v>
      </c>
      <c r="B12" s="17" t="s">
        <v>180</v>
      </c>
      <c r="C12" s="25">
        <f t="shared" ref="C12:AL12" si="1">C10+C11</f>
        <v>5000000</v>
      </c>
      <c r="D12" s="25">
        <f t="shared" si="1"/>
        <v>0</v>
      </c>
      <c r="E12" s="25">
        <f t="shared" si="1"/>
        <v>0</v>
      </c>
      <c r="F12" s="25">
        <f t="shared" si="1"/>
        <v>0</v>
      </c>
      <c r="G12" s="25">
        <f t="shared" si="1"/>
        <v>0</v>
      </c>
      <c r="H12" s="25">
        <f t="shared" si="1"/>
        <v>0</v>
      </c>
      <c r="I12" s="25">
        <f t="shared" si="1"/>
        <v>0</v>
      </c>
      <c r="J12" s="25">
        <f t="shared" si="1"/>
        <v>0</v>
      </c>
      <c r="K12" s="25">
        <f t="shared" si="1"/>
        <v>0</v>
      </c>
      <c r="L12" s="25">
        <f t="shared" si="1"/>
        <v>0</v>
      </c>
      <c r="M12" s="25">
        <f t="shared" si="1"/>
        <v>0</v>
      </c>
      <c r="N12" s="25">
        <f t="shared" si="1"/>
        <v>20000000</v>
      </c>
      <c r="O12" s="25">
        <f t="shared" si="1"/>
        <v>0</v>
      </c>
      <c r="P12" s="25">
        <f t="shared" si="1"/>
        <v>0</v>
      </c>
      <c r="Q12" s="25">
        <f t="shared" si="1"/>
        <v>0</v>
      </c>
      <c r="R12" s="25">
        <f t="shared" si="1"/>
        <v>0</v>
      </c>
      <c r="S12" s="25">
        <f t="shared" si="1"/>
        <v>0</v>
      </c>
      <c r="T12" s="25">
        <f t="shared" si="1"/>
        <v>0</v>
      </c>
      <c r="U12" s="25">
        <f t="shared" si="1"/>
        <v>0</v>
      </c>
      <c r="V12" s="25">
        <f t="shared" si="1"/>
        <v>0</v>
      </c>
      <c r="W12" s="25">
        <f t="shared" si="1"/>
        <v>0</v>
      </c>
      <c r="X12" s="25">
        <f t="shared" si="1"/>
        <v>0</v>
      </c>
      <c r="Y12" s="25">
        <f t="shared" si="1"/>
        <v>0</v>
      </c>
      <c r="Z12" s="25">
        <f t="shared" si="1"/>
        <v>0</v>
      </c>
      <c r="AA12" s="25">
        <f t="shared" si="1"/>
        <v>0</v>
      </c>
      <c r="AB12" s="25">
        <f t="shared" si="1"/>
        <v>0</v>
      </c>
      <c r="AC12" s="25">
        <f t="shared" si="1"/>
        <v>0</v>
      </c>
      <c r="AD12" s="25">
        <f t="shared" si="1"/>
        <v>0</v>
      </c>
      <c r="AE12" s="25">
        <f t="shared" si="1"/>
        <v>0</v>
      </c>
      <c r="AF12" s="25">
        <f t="shared" si="1"/>
        <v>0</v>
      </c>
      <c r="AG12" s="25">
        <f t="shared" si="1"/>
        <v>0</v>
      </c>
      <c r="AH12" s="25">
        <f t="shared" si="1"/>
        <v>0</v>
      </c>
      <c r="AI12" s="25">
        <f t="shared" si="1"/>
        <v>0</v>
      </c>
      <c r="AJ12" s="25">
        <f t="shared" si="1"/>
        <v>0</v>
      </c>
      <c r="AK12" s="25">
        <f t="shared" si="1"/>
        <v>0</v>
      </c>
      <c r="AL12" s="25">
        <f t="shared" si="1"/>
        <v>0</v>
      </c>
    </row>
    <row r="13" spans="1:38" x14ac:dyDescent="0.2">
      <c r="A13" s="3" t="s">
        <v>295</v>
      </c>
      <c r="B13" s="4"/>
      <c r="C13" s="4"/>
      <c r="D13" s="4"/>
      <c r="E13" s="4"/>
    </row>
    <row r="14" spans="1:38" x14ac:dyDescent="0.2">
      <c r="A14" s="6" t="s">
        <v>296</v>
      </c>
      <c r="B14" s="6" t="s">
        <v>180</v>
      </c>
      <c r="C14" s="28">
        <f>0</f>
        <v>0</v>
      </c>
      <c r="D14" s="28">
        <f t="shared" ref="D14:AL14" si="2">C18</f>
        <v>4865152.3416999998</v>
      </c>
      <c r="E14" s="28">
        <f t="shared" si="2"/>
        <v>4735295.2453999994</v>
      </c>
      <c r="F14" s="28">
        <f t="shared" si="2"/>
        <v>4612455.3798999991</v>
      </c>
      <c r="G14" s="28">
        <f t="shared" si="2"/>
        <v>4497178.2843749989</v>
      </c>
      <c r="H14" s="28">
        <f t="shared" si="2"/>
        <v>4391898.7425999986</v>
      </c>
      <c r="I14" s="28">
        <f t="shared" si="2"/>
        <v>4299116.674399999</v>
      </c>
      <c r="J14" s="28">
        <f t="shared" si="2"/>
        <v>4183890.5895999991</v>
      </c>
      <c r="K14" s="28">
        <f t="shared" si="2"/>
        <v>4086345.1901249993</v>
      </c>
      <c r="L14" s="28">
        <f t="shared" si="2"/>
        <v>4009153.2948749992</v>
      </c>
      <c r="M14" s="28">
        <f t="shared" si="2"/>
        <v>3955032.6327499994</v>
      </c>
      <c r="N14" s="28">
        <f t="shared" si="2"/>
        <v>3926746.0226499992</v>
      </c>
      <c r="O14" s="28">
        <f t="shared" si="2"/>
        <v>23927090.18045</v>
      </c>
      <c r="P14" s="28">
        <f t="shared" si="2"/>
        <v>23958893.999924999</v>
      </c>
      <c r="Q14" s="28">
        <f t="shared" si="2"/>
        <v>24025009.798799999</v>
      </c>
      <c r="R14" s="28">
        <f t="shared" si="2"/>
        <v>24128286.873624999</v>
      </c>
      <c r="S14" s="28">
        <f t="shared" si="2"/>
        <v>24271603.311875001</v>
      </c>
      <c r="T14" s="28">
        <f t="shared" si="2"/>
        <v>24457811.6138</v>
      </c>
      <c r="U14" s="28">
        <f t="shared" si="2"/>
        <v>24689755.432425</v>
      </c>
      <c r="V14" s="28">
        <f t="shared" si="2"/>
        <v>24807761.383549999</v>
      </c>
      <c r="W14" s="28">
        <f t="shared" si="2"/>
        <v>24977115.219700001</v>
      </c>
      <c r="X14" s="28">
        <f t="shared" si="2"/>
        <v>25200579.110125002</v>
      </c>
      <c r="Y14" s="28">
        <f t="shared" si="2"/>
        <v>25480851.638700001</v>
      </c>
      <c r="Z14" s="28">
        <f t="shared" si="2"/>
        <v>25820575.249975</v>
      </c>
      <c r="AA14" s="28">
        <f t="shared" si="2"/>
        <v>26222322.077075001</v>
      </c>
      <c r="AB14" s="28">
        <f t="shared" si="2"/>
        <v>26688604.030774999</v>
      </c>
      <c r="AC14" s="28">
        <f t="shared" si="2"/>
        <v>27221846.894375</v>
      </c>
      <c r="AD14" s="28">
        <f t="shared" si="2"/>
        <v>27824379.949749999</v>
      </c>
      <c r="AE14" s="28">
        <f t="shared" si="2"/>
        <v>28498445.991299998</v>
      </c>
      <c r="AF14" s="28">
        <f t="shared" si="2"/>
        <v>29246191.131999999</v>
      </c>
      <c r="AG14" s="28">
        <f t="shared" si="2"/>
        <v>30069638.358275</v>
      </c>
      <c r="AH14" s="28">
        <f t="shared" si="2"/>
        <v>30970718.0821</v>
      </c>
      <c r="AI14" s="28">
        <f t="shared" si="2"/>
        <v>31951244.31495</v>
      </c>
      <c r="AJ14" s="28">
        <f t="shared" si="2"/>
        <v>33012906.50175</v>
      </c>
      <c r="AK14" s="28">
        <f t="shared" si="2"/>
        <v>34157275.862975001</v>
      </c>
      <c r="AL14" s="28">
        <f t="shared" si="2"/>
        <v>35385798.512550004</v>
      </c>
    </row>
    <row r="15" spans="1:38" x14ac:dyDescent="0.2">
      <c r="A15" s="6" t="s">
        <v>297</v>
      </c>
      <c r="B15" s="6" t="s">
        <v>180</v>
      </c>
      <c r="C15" s="28">
        <f t="shared" ref="C15:AL15" si="3">C6+C12</f>
        <v>5004184.7116999999</v>
      </c>
      <c r="D15" s="28">
        <f t="shared" si="3"/>
        <v>12650.8737</v>
      </c>
      <c r="E15" s="28">
        <f t="shared" si="3"/>
        <v>25454.286</v>
      </c>
      <c r="F15" s="28">
        <f t="shared" si="3"/>
        <v>42702.819300000003</v>
      </c>
      <c r="G15" s="28">
        <f t="shared" si="3"/>
        <v>64470.864300000001</v>
      </c>
      <c r="H15" s="28">
        <f t="shared" si="3"/>
        <v>90851.402399999992</v>
      </c>
      <c r="I15" s="28">
        <f t="shared" si="3"/>
        <v>121922.55359999998</v>
      </c>
      <c r="J15" s="28">
        <f t="shared" si="3"/>
        <v>157781.0007</v>
      </c>
      <c r="K15" s="28">
        <f t="shared" si="3"/>
        <v>198486.27299999999</v>
      </c>
      <c r="L15" s="28">
        <f t="shared" si="3"/>
        <v>244094.17050000001</v>
      </c>
      <c r="M15" s="28">
        <f t="shared" si="3"/>
        <v>294660.49320000003</v>
      </c>
      <c r="N15" s="28">
        <f t="shared" si="3"/>
        <v>20350222.450399999</v>
      </c>
      <c r="O15" s="28">
        <f t="shared" si="3"/>
        <v>410806.11930000002</v>
      </c>
      <c r="P15" s="28">
        <f t="shared" si="3"/>
        <v>476430.11849999998</v>
      </c>
      <c r="Q15" s="28">
        <f t="shared" si="3"/>
        <v>547064.75309999997</v>
      </c>
      <c r="R15" s="28">
        <f t="shared" si="3"/>
        <v>622732.37099999993</v>
      </c>
      <c r="S15" s="28">
        <f t="shared" si="3"/>
        <v>703366.09589999996</v>
      </c>
      <c r="T15" s="28">
        <f t="shared" si="3"/>
        <v>788921.37150000001</v>
      </c>
      <c r="U15" s="28">
        <f t="shared" si="3"/>
        <v>879342.48149999999</v>
      </c>
      <c r="V15" s="28">
        <f t="shared" si="3"/>
        <v>974536.52819999994</v>
      </c>
      <c r="W15" s="28">
        <f t="shared" si="3"/>
        <v>1074432.9338999998</v>
      </c>
      <c r="X15" s="28">
        <f t="shared" si="3"/>
        <v>1178897.9180999999</v>
      </c>
      <c r="Y15" s="28">
        <f t="shared" si="3"/>
        <v>1287812.5617</v>
      </c>
      <c r="Z15" s="28">
        <f t="shared" si="3"/>
        <v>1401028.2227999999</v>
      </c>
      <c r="AA15" s="28">
        <f t="shared" si="3"/>
        <v>1518418.5515999999</v>
      </c>
      <c r="AB15" s="28">
        <f t="shared" si="3"/>
        <v>1639808.8847999999</v>
      </c>
      <c r="AC15" s="28">
        <f t="shared" si="3"/>
        <v>1765017.1004999999</v>
      </c>
      <c r="AD15" s="28">
        <f t="shared" si="3"/>
        <v>1893868.5353999999</v>
      </c>
      <c r="AE15" s="28">
        <f t="shared" si="3"/>
        <v>2026181.0675999997</v>
      </c>
      <c r="AF15" s="28">
        <f t="shared" si="3"/>
        <v>2161724.2616999997</v>
      </c>
      <c r="AG15" s="28">
        <f t="shared" si="3"/>
        <v>2300319.7250999999</v>
      </c>
      <c r="AH15" s="28">
        <f t="shared" si="3"/>
        <v>2441751.8838</v>
      </c>
      <c r="AI15" s="28">
        <f t="shared" si="3"/>
        <v>2585790.3023999999</v>
      </c>
      <c r="AJ15" s="28">
        <f t="shared" si="3"/>
        <v>2732223.1082999995</v>
      </c>
      <c r="AK15" s="28">
        <f t="shared" si="3"/>
        <v>2880819.8660999998</v>
      </c>
      <c r="AL15" s="28">
        <f t="shared" si="3"/>
        <v>3031361.2725</v>
      </c>
    </row>
    <row r="16" spans="1:38" x14ac:dyDescent="0.2">
      <c r="A16" s="6" t="s">
        <v>298</v>
      </c>
      <c r="B16" s="6" t="s">
        <v>180</v>
      </c>
      <c r="C16" s="28">
        <f t="shared" ref="C16:AL16" si="4">C7</f>
        <v>139032.37</v>
      </c>
      <c r="D16" s="28">
        <f t="shared" si="4"/>
        <v>142507.97</v>
      </c>
      <c r="E16" s="28">
        <f t="shared" si="4"/>
        <v>148294.15149999998</v>
      </c>
      <c r="F16" s="28">
        <f t="shared" si="4"/>
        <v>157979.91482500001</v>
      </c>
      <c r="G16" s="28">
        <f t="shared" si="4"/>
        <v>169750.40607500001</v>
      </c>
      <c r="H16" s="28">
        <f t="shared" si="4"/>
        <v>183633.4706</v>
      </c>
      <c r="I16" s="28">
        <f t="shared" si="4"/>
        <v>237148.6384</v>
      </c>
      <c r="J16" s="28">
        <f t="shared" si="4"/>
        <v>255326.40017500002</v>
      </c>
      <c r="K16" s="28">
        <f t="shared" si="4"/>
        <v>275678.16824999999</v>
      </c>
      <c r="L16" s="28">
        <f t="shared" si="4"/>
        <v>298214.83262499998</v>
      </c>
      <c r="M16" s="28">
        <f t="shared" si="4"/>
        <v>322947.10330000002</v>
      </c>
      <c r="N16" s="28">
        <f t="shared" si="4"/>
        <v>349878.29260000004</v>
      </c>
      <c r="O16" s="28">
        <f t="shared" si="4"/>
        <v>379002.29982499999</v>
      </c>
      <c r="P16" s="28">
        <f t="shared" si="4"/>
        <v>410314.319625</v>
      </c>
      <c r="Q16" s="28">
        <f t="shared" si="4"/>
        <v>443787.67827499995</v>
      </c>
      <c r="R16" s="28">
        <f t="shared" si="4"/>
        <v>479415.93274999998</v>
      </c>
      <c r="S16" s="28">
        <f t="shared" si="4"/>
        <v>517157.79397499998</v>
      </c>
      <c r="T16" s="28">
        <f t="shared" si="4"/>
        <v>556977.55287500005</v>
      </c>
      <c r="U16" s="28">
        <f t="shared" si="4"/>
        <v>761336.53037500009</v>
      </c>
      <c r="V16" s="28">
        <f t="shared" si="4"/>
        <v>805182.69205000007</v>
      </c>
      <c r="W16" s="28">
        <f t="shared" si="4"/>
        <v>850969.04347499995</v>
      </c>
      <c r="X16" s="28">
        <f t="shared" si="4"/>
        <v>898625.38952499989</v>
      </c>
      <c r="Y16" s="28">
        <f t="shared" si="4"/>
        <v>948088.95042500005</v>
      </c>
      <c r="Z16" s="28">
        <f t="shared" si="4"/>
        <v>999281.39569999988</v>
      </c>
      <c r="AA16" s="28">
        <f t="shared" si="4"/>
        <v>1052136.5978999999</v>
      </c>
      <c r="AB16" s="28">
        <f t="shared" si="4"/>
        <v>1106566.0211999998</v>
      </c>
      <c r="AC16" s="28">
        <f t="shared" si="4"/>
        <v>1162484.0451250002</v>
      </c>
      <c r="AD16" s="28">
        <f t="shared" si="4"/>
        <v>1219802.49385</v>
      </c>
      <c r="AE16" s="28">
        <f t="shared" si="4"/>
        <v>1278435.9268999998</v>
      </c>
      <c r="AF16" s="28">
        <f t="shared" si="4"/>
        <v>1338277.0354249999</v>
      </c>
      <c r="AG16" s="28">
        <f t="shared" si="4"/>
        <v>1399240.0012750002</v>
      </c>
      <c r="AH16" s="28">
        <f t="shared" si="4"/>
        <v>1461225.6509499999</v>
      </c>
      <c r="AI16" s="28">
        <f t="shared" si="4"/>
        <v>1524128.1156000001</v>
      </c>
      <c r="AJ16" s="28">
        <f t="shared" si="4"/>
        <v>1587853.7470749998</v>
      </c>
      <c r="AK16" s="28">
        <f t="shared" si="4"/>
        <v>1652297.2165250001</v>
      </c>
      <c r="AL16" s="28">
        <f t="shared" si="4"/>
        <v>1717361.8881250001</v>
      </c>
    </row>
    <row r="17" spans="1:38" x14ac:dyDescent="0.2">
      <c r="A17" s="6" t="s">
        <v>299</v>
      </c>
      <c r="B17" s="6" t="s">
        <v>180</v>
      </c>
      <c r="C17" s="38">
        <f t="shared" ref="C17:AL17" si="5">C15-C16</f>
        <v>4865152.3416999998</v>
      </c>
      <c r="D17" s="38">
        <f t="shared" si="5"/>
        <v>-129857.0963</v>
      </c>
      <c r="E17" s="38">
        <f t="shared" si="5"/>
        <v>-122839.86549999999</v>
      </c>
      <c r="F17" s="38">
        <f t="shared" si="5"/>
        <v>-115277.09552500001</v>
      </c>
      <c r="G17" s="38">
        <f t="shared" si="5"/>
        <v>-105279.54177500001</v>
      </c>
      <c r="H17" s="38">
        <f t="shared" si="5"/>
        <v>-92782.068200000009</v>
      </c>
      <c r="I17" s="38">
        <f t="shared" si="5"/>
        <v>-115226.08480000001</v>
      </c>
      <c r="J17" s="38">
        <f t="shared" si="5"/>
        <v>-97545.399475000013</v>
      </c>
      <c r="K17" s="38">
        <f t="shared" si="5"/>
        <v>-77191.895250000001</v>
      </c>
      <c r="L17" s="38">
        <f t="shared" si="5"/>
        <v>-54120.662124999973</v>
      </c>
      <c r="M17" s="38">
        <f t="shared" si="5"/>
        <v>-28286.610099999991</v>
      </c>
      <c r="N17" s="38">
        <f t="shared" si="5"/>
        <v>20000344.1578</v>
      </c>
      <c r="O17" s="38">
        <f t="shared" si="5"/>
        <v>31803.819475000026</v>
      </c>
      <c r="P17" s="38">
        <f t="shared" si="5"/>
        <v>66115.798874999979</v>
      </c>
      <c r="Q17" s="38">
        <f t="shared" si="5"/>
        <v>103277.07482500002</v>
      </c>
      <c r="R17" s="38">
        <f t="shared" si="5"/>
        <v>143316.43824999995</v>
      </c>
      <c r="S17" s="38">
        <f t="shared" si="5"/>
        <v>186208.30192499998</v>
      </c>
      <c r="T17" s="38">
        <f t="shared" si="5"/>
        <v>231943.81862499996</v>
      </c>
      <c r="U17" s="38">
        <f t="shared" si="5"/>
        <v>118005.95112499991</v>
      </c>
      <c r="V17" s="38">
        <f t="shared" si="5"/>
        <v>169353.83614999987</v>
      </c>
      <c r="W17" s="38">
        <f t="shared" si="5"/>
        <v>223463.89042499987</v>
      </c>
      <c r="X17" s="38">
        <f t="shared" si="5"/>
        <v>280272.528575</v>
      </c>
      <c r="Y17" s="38">
        <f t="shared" si="5"/>
        <v>339723.61127499992</v>
      </c>
      <c r="Z17" s="38">
        <f t="shared" si="5"/>
        <v>401746.82709999999</v>
      </c>
      <c r="AA17" s="38">
        <f t="shared" si="5"/>
        <v>466281.95369999995</v>
      </c>
      <c r="AB17" s="38">
        <f t="shared" si="5"/>
        <v>533242.86360000004</v>
      </c>
      <c r="AC17" s="38">
        <f t="shared" si="5"/>
        <v>602533.05537499976</v>
      </c>
      <c r="AD17" s="38">
        <f t="shared" si="5"/>
        <v>674066.04154999997</v>
      </c>
      <c r="AE17" s="38">
        <f t="shared" si="5"/>
        <v>747745.14069999987</v>
      </c>
      <c r="AF17" s="38">
        <f t="shared" si="5"/>
        <v>823447.22627499979</v>
      </c>
      <c r="AG17" s="38">
        <f t="shared" si="5"/>
        <v>901079.72382499976</v>
      </c>
      <c r="AH17" s="38">
        <f t="shared" si="5"/>
        <v>980526.23285000003</v>
      </c>
      <c r="AI17" s="38">
        <f t="shared" si="5"/>
        <v>1061662.1867999998</v>
      </c>
      <c r="AJ17" s="38">
        <f t="shared" si="5"/>
        <v>1144369.3612249997</v>
      </c>
      <c r="AK17" s="38">
        <f t="shared" si="5"/>
        <v>1228522.6495749997</v>
      </c>
      <c r="AL17" s="38">
        <f t="shared" si="5"/>
        <v>1313999.3843749999</v>
      </c>
    </row>
    <row r="18" spans="1:38" x14ac:dyDescent="0.2">
      <c r="A18" s="17" t="s">
        <v>300</v>
      </c>
      <c r="B18" s="17" t="s">
        <v>180</v>
      </c>
      <c r="C18" s="27">
        <f t="shared" ref="C18:AL18" si="6">C14+C17</f>
        <v>4865152.3416999998</v>
      </c>
      <c r="D18" s="27">
        <f t="shared" si="6"/>
        <v>4735295.2453999994</v>
      </c>
      <c r="E18" s="27">
        <f t="shared" si="6"/>
        <v>4612455.3798999991</v>
      </c>
      <c r="F18" s="27">
        <f t="shared" si="6"/>
        <v>4497178.2843749989</v>
      </c>
      <c r="G18" s="27">
        <f t="shared" si="6"/>
        <v>4391898.7425999986</v>
      </c>
      <c r="H18" s="27">
        <f t="shared" si="6"/>
        <v>4299116.674399999</v>
      </c>
      <c r="I18" s="27">
        <f t="shared" si="6"/>
        <v>4183890.5895999991</v>
      </c>
      <c r="J18" s="27">
        <f t="shared" si="6"/>
        <v>4086345.1901249993</v>
      </c>
      <c r="K18" s="27">
        <f t="shared" si="6"/>
        <v>4009153.2948749992</v>
      </c>
      <c r="L18" s="27">
        <f t="shared" si="6"/>
        <v>3955032.6327499994</v>
      </c>
      <c r="M18" s="27">
        <f t="shared" si="6"/>
        <v>3926746.0226499992</v>
      </c>
      <c r="N18" s="27">
        <f t="shared" si="6"/>
        <v>23927090.18045</v>
      </c>
      <c r="O18" s="27">
        <f t="shared" si="6"/>
        <v>23958893.999924999</v>
      </c>
      <c r="P18" s="27">
        <f t="shared" si="6"/>
        <v>24025009.798799999</v>
      </c>
      <c r="Q18" s="27">
        <f t="shared" si="6"/>
        <v>24128286.873624999</v>
      </c>
      <c r="R18" s="27">
        <f t="shared" si="6"/>
        <v>24271603.311875001</v>
      </c>
      <c r="S18" s="27">
        <f t="shared" si="6"/>
        <v>24457811.6138</v>
      </c>
      <c r="T18" s="27">
        <f t="shared" si="6"/>
        <v>24689755.432425</v>
      </c>
      <c r="U18" s="27">
        <f t="shared" si="6"/>
        <v>24807761.383549999</v>
      </c>
      <c r="V18" s="27">
        <f t="shared" si="6"/>
        <v>24977115.219700001</v>
      </c>
      <c r="W18" s="27">
        <f t="shared" si="6"/>
        <v>25200579.110125002</v>
      </c>
      <c r="X18" s="27">
        <f t="shared" si="6"/>
        <v>25480851.638700001</v>
      </c>
      <c r="Y18" s="27">
        <f t="shared" si="6"/>
        <v>25820575.249975</v>
      </c>
      <c r="Z18" s="27">
        <f t="shared" si="6"/>
        <v>26222322.077075001</v>
      </c>
      <c r="AA18" s="27">
        <f t="shared" si="6"/>
        <v>26688604.030774999</v>
      </c>
      <c r="AB18" s="27">
        <f t="shared" si="6"/>
        <v>27221846.894375</v>
      </c>
      <c r="AC18" s="27">
        <f t="shared" si="6"/>
        <v>27824379.949749999</v>
      </c>
      <c r="AD18" s="27">
        <f t="shared" si="6"/>
        <v>28498445.991299998</v>
      </c>
      <c r="AE18" s="27">
        <f t="shared" si="6"/>
        <v>29246191.131999999</v>
      </c>
      <c r="AF18" s="27">
        <f t="shared" si="6"/>
        <v>30069638.358275</v>
      </c>
      <c r="AG18" s="27">
        <f t="shared" si="6"/>
        <v>30970718.0821</v>
      </c>
      <c r="AH18" s="27">
        <f t="shared" si="6"/>
        <v>31951244.31495</v>
      </c>
      <c r="AI18" s="27">
        <f t="shared" si="6"/>
        <v>33012906.50175</v>
      </c>
      <c r="AJ18" s="27">
        <f t="shared" si="6"/>
        <v>34157275.862975001</v>
      </c>
      <c r="AK18" s="27">
        <f t="shared" si="6"/>
        <v>35385798.512550004</v>
      </c>
      <c r="AL18" s="27">
        <f t="shared" si="6"/>
        <v>36699797.896925002</v>
      </c>
    </row>
    <row r="19" spans="1:38" x14ac:dyDescent="0.2">
      <c r="A19" s="3" t="s">
        <v>301</v>
      </c>
      <c r="B19" s="4"/>
      <c r="C19" s="4"/>
      <c r="D19" s="4"/>
      <c r="E19" s="4"/>
    </row>
    <row r="20" spans="1:38" x14ac:dyDescent="0.2">
      <c r="A20" s="6" t="s">
        <v>302</v>
      </c>
      <c r="B20" s="6" t="s">
        <v>152</v>
      </c>
      <c r="C20" s="31">
        <f t="shared" ref="C20:AL20" si="7">IF(C8&gt;=0, 999, -1*C18/C8)</f>
        <v>36.078878958923674</v>
      </c>
      <c r="D20" s="31">
        <f t="shared" si="7"/>
        <v>36.465433005373612</v>
      </c>
      <c r="E20" s="31">
        <f t="shared" si="7"/>
        <v>37.548521899838775</v>
      </c>
      <c r="F20" s="31">
        <f t="shared" si="7"/>
        <v>39.011897930753307</v>
      </c>
      <c r="G20" s="31">
        <f t="shared" si="7"/>
        <v>41.716545005355563</v>
      </c>
      <c r="H20" s="31">
        <f t="shared" si="7"/>
        <v>46.335641765743681</v>
      </c>
      <c r="I20" s="31">
        <f t="shared" si="7"/>
        <v>36.310272946113315</v>
      </c>
      <c r="J20" s="31">
        <f t="shared" si="7"/>
        <v>41.891726438336967</v>
      </c>
      <c r="K20" s="31">
        <f t="shared" si="7"/>
        <v>51.937490093883909</v>
      </c>
      <c r="L20" s="31">
        <f t="shared" si="7"/>
        <v>73.078053324906577</v>
      </c>
      <c r="M20" s="31">
        <f t="shared" si="7"/>
        <v>138.81995788000063</v>
      </c>
      <c r="N20" s="31">
        <f t="shared" si="7"/>
        <v>999</v>
      </c>
      <c r="O20" s="31">
        <f t="shared" si="7"/>
        <v>999</v>
      </c>
      <c r="P20" s="31">
        <f t="shared" si="7"/>
        <v>999</v>
      </c>
      <c r="Q20" s="31">
        <f t="shared" si="7"/>
        <v>999</v>
      </c>
      <c r="R20" s="31">
        <f t="shared" si="7"/>
        <v>999</v>
      </c>
      <c r="S20" s="31">
        <f t="shared" si="7"/>
        <v>999</v>
      </c>
      <c r="T20" s="31">
        <f t="shared" si="7"/>
        <v>999</v>
      </c>
      <c r="U20" s="31">
        <f t="shared" si="7"/>
        <v>999</v>
      </c>
      <c r="V20" s="31">
        <f t="shared" si="7"/>
        <v>999</v>
      </c>
      <c r="W20" s="31">
        <f t="shared" si="7"/>
        <v>999</v>
      </c>
      <c r="X20" s="31">
        <f t="shared" si="7"/>
        <v>999</v>
      </c>
      <c r="Y20" s="31">
        <f t="shared" si="7"/>
        <v>999</v>
      </c>
      <c r="Z20" s="31">
        <f t="shared" si="7"/>
        <v>999</v>
      </c>
      <c r="AA20" s="31">
        <f t="shared" si="7"/>
        <v>999</v>
      </c>
      <c r="AB20" s="31">
        <f t="shared" si="7"/>
        <v>999</v>
      </c>
      <c r="AC20" s="31">
        <f t="shared" si="7"/>
        <v>999</v>
      </c>
      <c r="AD20" s="31">
        <f t="shared" si="7"/>
        <v>999</v>
      </c>
      <c r="AE20" s="31">
        <f t="shared" si="7"/>
        <v>999</v>
      </c>
      <c r="AF20" s="31">
        <f t="shared" si="7"/>
        <v>999</v>
      </c>
      <c r="AG20" s="31">
        <f t="shared" si="7"/>
        <v>999</v>
      </c>
      <c r="AH20" s="31">
        <f t="shared" si="7"/>
        <v>999</v>
      </c>
      <c r="AI20" s="31">
        <f t="shared" si="7"/>
        <v>999</v>
      </c>
      <c r="AJ20" s="31">
        <f t="shared" si="7"/>
        <v>999</v>
      </c>
      <c r="AK20" s="31">
        <f t="shared" si="7"/>
        <v>999</v>
      </c>
      <c r="AL20" s="31">
        <f t="shared" si="7"/>
        <v>999</v>
      </c>
    </row>
    <row r="21" spans="1:38" x14ac:dyDescent="0.2">
      <c r="A21" s="17" t="s">
        <v>303</v>
      </c>
      <c r="B21" s="17" t="s">
        <v>180</v>
      </c>
      <c r="C21" s="27">
        <f>C8</f>
        <v>-134847.65830000001</v>
      </c>
      <c r="D21" s="27">
        <f t="shared" ref="D21:AL21" si="8">C21+D8</f>
        <v>-264704.75459999999</v>
      </c>
      <c r="E21" s="27">
        <f t="shared" si="8"/>
        <v>-387544.62009999994</v>
      </c>
      <c r="F21" s="27">
        <f t="shared" si="8"/>
        <v>-502821.71562499995</v>
      </c>
      <c r="G21" s="27">
        <f t="shared" si="8"/>
        <v>-608101.2574</v>
      </c>
      <c r="H21" s="27">
        <f t="shared" si="8"/>
        <v>-700883.32559999998</v>
      </c>
      <c r="I21" s="27">
        <f t="shared" si="8"/>
        <v>-816109.41039999994</v>
      </c>
      <c r="J21" s="27">
        <f t="shared" si="8"/>
        <v>-913654.80987499992</v>
      </c>
      <c r="K21" s="27">
        <f t="shared" si="8"/>
        <v>-990846.70512499986</v>
      </c>
      <c r="L21" s="27">
        <f t="shared" si="8"/>
        <v>-1044967.3672499999</v>
      </c>
      <c r="M21" s="27">
        <f t="shared" si="8"/>
        <v>-1073253.9773499998</v>
      </c>
      <c r="N21" s="27">
        <f t="shared" si="8"/>
        <v>-1072909.8195499999</v>
      </c>
      <c r="O21" s="27">
        <f t="shared" si="8"/>
        <v>-1041106.0000749999</v>
      </c>
      <c r="P21" s="27">
        <f t="shared" si="8"/>
        <v>-974990.20119999989</v>
      </c>
      <c r="Q21" s="27">
        <f t="shared" si="8"/>
        <v>-871713.12637499988</v>
      </c>
      <c r="R21" s="27">
        <f t="shared" si="8"/>
        <v>-728396.68812499987</v>
      </c>
      <c r="S21" s="27">
        <f t="shared" si="8"/>
        <v>-542188.38619999983</v>
      </c>
      <c r="T21" s="27">
        <f t="shared" si="8"/>
        <v>-310244.56757499988</v>
      </c>
      <c r="U21" s="27">
        <f t="shared" si="8"/>
        <v>-192238.61644999997</v>
      </c>
      <c r="V21" s="27">
        <f t="shared" si="8"/>
        <v>-22884.7803000001</v>
      </c>
      <c r="W21" s="27">
        <f t="shared" si="8"/>
        <v>200579.11012499977</v>
      </c>
      <c r="X21" s="27">
        <f t="shared" si="8"/>
        <v>480851.63869999978</v>
      </c>
      <c r="Y21" s="27">
        <f t="shared" si="8"/>
        <v>820575.24997499969</v>
      </c>
      <c r="Z21" s="27">
        <f t="shared" si="8"/>
        <v>1222322.0770749997</v>
      </c>
      <c r="AA21" s="27">
        <f t="shared" si="8"/>
        <v>1688604.0307749996</v>
      </c>
      <c r="AB21" s="27">
        <f t="shared" si="8"/>
        <v>2221846.8943749997</v>
      </c>
      <c r="AC21" s="27">
        <f t="shared" si="8"/>
        <v>2824379.9497499997</v>
      </c>
      <c r="AD21" s="27">
        <f t="shared" si="8"/>
        <v>3498445.9912999999</v>
      </c>
      <c r="AE21" s="27">
        <f t="shared" si="8"/>
        <v>4246191.1319999993</v>
      </c>
      <c r="AF21" s="27">
        <f t="shared" si="8"/>
        <v>5069638.3582749991</v>
      </c>
      <c r="AG21" s="27">
        <f t="shared" si="8"/>
        <v>5970718.0820999984</v>
      </c>
      <c r="AH21" s="27">
        <f t="shared" si="8"/>
        <v>6951244.3149499986</v>
      </c>
      <c r="AI21" s="27">
        <f t="shared" si="8"/>
        <v>8012906.501749998</v>
      </c>
      <c r="AJ21" s="27">
        <f t="shared" si="8"/>
        <v>9157275.8629749976</v>
      </c>
      <c r="AK21" s="27">
        <f t="shared" si="8"/>
        <v>10385798.512549996</v>
      </c>
      <c r="AL21" s="27">
        <f t="shared" si="8"/>
        <v>11699797.896924997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0FF"/>
  </sheetPr>
  <dimension ref="A1:AK11"/>
  <sheetViews>
    <sheetView workbookViewId="0"/>
  </sheetViews>
  <sheetFormatPr baseColWidth="10" defaultColWidth="8.83203125" defaultRowHeight="15" x14ac:dyDescent="0.2"/>
  <cols>
    <col min="1" max="1" width="15" customWidth="1"/>
    <col min="2" max="37" width="14" customWidth="1"/>
  </cols>
  <sheetData>
    <row r="1" spans="1:37" ht="18" x14ac:dyDescent="0.2">
      <c r="A1" s="1" t="s">
        <v>304</v>
      </c>
    </row>
    <row r="3" spans="1:37" x14ac:dyDescent="0.2">
      <c r="A3" s="17" t="s">
        <v>305</v>
      </c>
      <c r="B3" s="6" t="s">
        <v>114</v>
      </c>
      <c r="C3" s="6" t="s">
        <v>115</v>
      </c>
      <c r="D3" s="6" t="s">
        <v>116</v>
      </c>
      <c r="E3" s="6" t="s">
        <v>117</v>
      </c>
      <c r="F3" s="6" t="s">
        <v>118</v>
      </c>
      <c r="G3" s="6" t="s">
        <v>119</v>
      </c>
      <c r="H3" s="6" t="s">
        <v>120</v>
      </c>
      <c r="I3" s="6" t="s">
        <v>121</v>
      </c>
      <c r="J3" s="6" t="s">
        <v>122</v>
      </c>
      <c r="K3" s="6" t="s">
        <v>123</v>
      </c>
      <c r="L3" s="6" t="s">
        <v>124</v>
      </c>
      <c r="M3" s="6" t="s">
        <v>125</v>
      </c>
      <c r="N3" s="6" t="s">
        <v>126</v>
      </c>
      <c r="O3" s="6" t="s">
        <v>127</v>
      </c>
      <c r="P3" s="6" t="s">
        <v>128</v>
      </c>
      <c r="Q3" s="6" t="s">
        <v>129</v>
      </c>
      <c r="R3" s="6" t="s">
        <v>130</v>
      </c>
      <c r="S3" s="6" t="s">
        <v>131</v>
      </c>
      <c r="T3" s="6" t="s">
        <v>132</v>
      </c>
      <c r="U3" s="6" t="s">
        <v>133</v>
      </c>
      <c r="V3" s="6" t="s">
        <v>134</v>
      </c>
      <c r="W3" s="6" t="s">
        <v>135</v>
      </c>
      <c r="X3" s="6" t="s">
        <v>136</v>
      </c>
      <c r="Y3" s="6" t="s">
        <v>137</v>
      </c>
      <c r="Z3" s="6" t="s">
        <v>138</v>
      </c>
      <c r="AA3" s="6" t="s">
        <v>139</v>
      </c>
      <c r="AB3" s="6" t="s">
        <v>140</v>
      </c>
      <c r="AC3" s="6" t="s">
        <v>141</v>
      </c>
      <c r="AD3" s="6" t="s">
        <v>142</v>
      </c>
      <c r="AE3" s="6" t="s">
        <v>143</v>
      </c>
      <c r="AF3" s="6" t="s">
        <v>144</v>
      </c>
      <c r="AG3" s="6" t="s">
        <v>145</v>
      </c>
      <c r="AH3" s="6" t="s">
        <v>146</v>
      </c>
      <c r="AI3" s="6" t="s">
        <v>147</v>
      </c>
      <c r="AJ3" s="6" t="s">
        <v>148</v>
      </c>
      <c r="AK3" s="6" t="s">
        <v>149</v>
      </c>
    </row>
    <row r="4" spans="1:37" x14ac:dyDescent="0.2">
      <c r="A4" s="6" t="s">
        <v>172</v>
      </c>
      <c r="B4" s="21">
        <f>'User Growth'!C28</f>
        <v>9639</v>
      </c>
      <c r="C4" s="21">
        <f>'User Growth'!D28</f>
        <v>20109</v>
      </c>
      <c r="D4" s="21">
        <f>'User Growth'!E28</f>
        <v>31431</v>
      </c>
      <c r="E4" s="21">
        <f>'User Growth'!F28</f>
        <v>43617</v>
      </c>
      <c r="F4" s="21">
        <f>'User Growth'!G28</f>
        <v>56678</v>
      </c>
      <c r="G4" s="21">
        <f>'User Growth'!H28</f>
        <v>70619</v>
      </c>
      <c r="H4" s="21">
        <f>'User Growth'!I28</f>
        <v>85440</v>
      </c>
      <c r="I4" s="21">
        <f>'User Growth'!J28</f>
        <v>101135</v>
      </c>
      <c r="J4" s="21">
        <f>'User Growth'!K28</f>
        <v>117695</v>
      </c>
      <c r="K4" s="21">
        <f>'User Growth'!L28</f>
        <v>135103</v>
      </c>
      <c r="L4" s="21">
        <f>'User Growth'!M28</f>
        <v>153341</v>
      </c>
      <c r="M4" s="21">
        <f>'User Growth'!N28</f>
        <v>172386</v>
      </c>
      <c r="N4" s="21">
        <f>'User Growth'!O28</f>
        <v>192209</v>
      </c>
      <c r="O4" s="21">
        <f>'User Growth'!P28</f>
        <v>212778</v>
      </c>
      <c r="P4" s="21">
        <f>'User Growth'!Q28</f>
        <v>234058</v>
      </c>
      <c r="Q4" s="21">
        <f>'User Growth'!R28</f>
        <v>256013</v>
      </c>
      <c r="R4" s="21">
        <f>'User Growth'!S28</f>
        <v>278599</v>
      </c>
      <c r="S4" s="21">
        <f>'User Growth'!T28</f>
        <v>301772</v>
      </c>
      <c r="T4" s="21">
        <f>'User Growth'!U28</f>
        <v>325487</v>
      </c>
      <c r="U4" s="21">
        <f>'User Growth'!V28</f>
        <v>349697</v>
      </c>
      <c r="V4" s="21">
        <f>'User Growth'!W28</f>
        <v>374352</v>
      </c>
      <c r="W4" s="21">
        <f>'User Growth'!X28</f>
        <v>399402</v>
      </c>
      <c r="X4" s="21">
        <f>'User Growth'!Y28</f>
        <v>424797</v>
      </c>
      <c r="Y4" s="21">
        <f>'User Growth'!Z28</f>
        <v>450483</v>
      </c>
      <c r="Z4" s="21">
        <f>'User Growth'!AA28</f>
        <v>476412</v>
      </c>
      <c r="AA4" s="21">
        <f>'User Growth'!AB28</f>
        <v>502530</v>
      </c>
      <c r="AB4" s="21">
        <f>'User Growth'!AC28</f>
        <v>528789</v>
      </c>
      <c r="AC4" s="21">
        <f>'User Growth'!AD28</f>
        <v>555137</v>
      </c>
      <c r="AD4" s="21">
        <f>'User Growth'!AE28</f>
        <v>581527</v>
      </c>
      <c r="AE4" s="21">
        <f>'User Growth'!AF28</f>
        <v>607909</v>
      </c>
      <c r="AF4" s="21">
        <f>'User Growth'!AG28</f>
        <v>634239</v>
      </c>
      <c r="AG4" s="21">
        <f>'User Growth'!AH28</f>
        <v>660471</v>
      </c>
      <c r="AH4" s="21">
        <f>'User Growth'!AI28</f>
        <v>686563</v>
      </c>
      <c r="AI4" s="21">
        <f>'User Growth'!AJ28</f>
        <v>712474</v>
      </c>
      <c r="AJ4" s="21">
        <f>'User Growth'!AK28</f>
        <v>738165</v>
      </c>
      <c r="AK4" s="21">
        <f>'User Growth'!AL28</f>
        <v>763599</v>
      </c>
    </row>
    <row r="5" spans="1:37" x14ac:dyDescent="0.2">
      <c r="A5" s="6" t="s">
        <v>306</v>
      </c>
      <c r="B5" s="21">
        <f>'User Growth'!C29</f>
        <v>431</v>
      </c>
      <c r="C5" s="21">
        <f>'User Growth'!D29</f>
        <v>1291</v>
      </c>
      <c r="D5" s="21">
        <f>'User Growth'!E29</f>
        <v>2580</v>
      </c>
      <c r="E5" s="21">
        <f>'User Growth'!F29</f>
        <v>4299</v>
      </c>
      <c r="F5" s="21">
        <f>'User Growth'!G29</f>
        <v>6449</v>
      </c>
      <c r="G5" s="21">
        <f>'User Growth'!H29</f>
        <v>9032</v>
      </c>
      <c r="H5" s="21">
        <f>'User Growth'!I29</f>
        <v>12048</v>
      </c>
      <c r="I5" s="21">
        <f>'User Growth'!J29</f>
        <v>15501</v>
      </c>
      <c r="J5" s="21">
        <f>'User Growth'!K29</f>
        <v>19390</v>
      </c>
      <c r="K5" s="21">
        <f>'User Growth'!L29</f>
        <v>23715</v>
      </c>
      <c r="L5" s="21">
        <f>'User Growth'!M29</f>
        <v>28476</v>
      </c>
      <c r="M5" s="21">
        <f>'User Growth'!N29</f>
        <v>33672</v>
      </c>
      <c r="N5" s="21">
        <f>'User Growth'!O29</f>
        <v>39299</v>
      </c>
      <c r="O5" s="21">
        <f>'User Growth'!P29</f>
        <v>45355</v>
      </c>
      <c r="P5" s="21">
        <f>'User Growth'!Q29</f>
        <v>51833</v>
      </c>
      <c r="Q5" s="21">
        <f>'User Growth'!R29</f>
        <v>58730</v>
      </c>
      <c r="R5" s="21">
        <f>'User Growth'!S29</f>
        <v>66037</v>
      </c>
      <c r="S5" s="21">
        <f>'User Growth'!T29</f>
        <v>73745</v>
      </c>
      <c r="T5" s="21">
        <f>'User Growth'!U29</f>
        <v>81845</v>
      </c>
      <c r="U5" s="21">
        <f>'User Growth'!V29</f>
        <v>90326</v>
      </c>
      <c r="V5" s="21">
        <f>'User Growth'!W29</f>
        <v>99177</v>
      </c>
      <c r="W5" s="21">
        <f>'User Growth'!X29</f>
        <v>108383</v>
      </c>
      <c r="X5" s="21">
        <f>'User Growth'!Y29</f>
        <v>117931</v>
      </c>
      <c r="Y5" s="21">
        <f>'User Growth'!Z29</f>
        <v>127804</v>
      </c>
      <c r="Z5" s="21">
        <f>'User Growth'!AA29</f>
        <v>137988</v>
      </c>
      <c r="AA5" s="21">
        <f>'User Growth'!AB29</f>
        <v>148464</v>
      </c>
      <c r="AB5" s="21">
        <f>'User Growth'!AC29</f>
        <v>159215</v>
      </c>
      <c r="AC5" s="21">
        <f>'User Growth'!AD29</f>
        <v>170222</v>
      </c>
      <c r="AD5" s="21">
        <f>'User Growth'!AE29</f>
        <v>181468</v>
      </c>
      <c r="AE5" s="21">
        <f>'User Growth'!AF29</f>
        <v>192931</v>
      </c>
      <c r="AF5" s="21">
        <f>'User Growth'!AG29</f>
        <v>204593</v>
      </c>
      <c r="AG5" s="21">
        <f>'User Growth'!AH29</f>
        <v>216434</v>
      </c>
      <c r="AH5" s="21">
        <f>'User Growth'!AI29</f>
        <v>228432</v>
      </c>
      <c r="AI5" s="21">
        <f>'User Growth'!AJ29</f>
        <v>240569</v>
      </c>
      <c r="AJ5" s="21">
        <f>'User Growth'!AK29</f>
        <v>252823</v>
      </c>
      <c r="AK5" s="21">
        <f>'User Growth'!AL29</f>
        <v>265175</v>
      </c>
    </row>
    <row r="6" spans="1:37" x14ac:dyDescent="0.2">
      <c r="A6" s="6" t="s">
        <v>307</v>
      </c>
      <c r="B6" s="24">
        <f>Revenue!C8</f>
        <v>4184.7116999999998</v>
      </c>
      <c r="C6" s="24">
        <f>Revenue!D8</f>
        <v>12650.8737</v>
      </c>
      <c r="D6" s="24">
        <f>Revenue!E8</f>
        <v>25454.286</v>
      </c>
      <c r="E6" s="24">
        <f>Revenue!F8</f>
        <v>42702.819300000003</v>
      </c>
      <c r="F6" s="24">
        <f>Revenue!G8</f>
        <v>64470.864300000001</v>
      </c>
      <c r="G6" s="24">
        <f>Revenue!H8</f>
        <v>90851.402399999992</v>
      </c>
      <c r="H6" s="24">
        <f>Revenue!I8</f>
        <v>121922.55359999998</v>
      </c>
      <c r="I6" s="24">
        <f>Revenue!J8</f>
        <v>157781.0007</v>
      </c>
      <c r="J6" s="24">
        <f>Revenue!K8</f>
        <v>198486.27299999999</v>
      </c>
      <c r="K6" s="24">
        <f>Revenue!L8</f>
        <v>244094.17050000001</v>
      </c>
      <c r="L6" s="24">
        <f>Revenue!M8</f>
        <v>294660.49320000003</v>
      </c>
      <c r="M6" s="24">
        <f>Revenue!N8</f>
        <v>350222.45039999997</v>
      </c>
      <c r="N6" s="24">
        <f>Revenue!O8</f>
        <v>410806.11930000002</v>
      </c>
      <c r="O6" s="24">
        <f>Revenue!P8</f>
        <v>476430.11849999998</v>
      </c>
      <c r="P6" s="24">
        <f>Revenue!Q8</f>
        <v>547064.75309999997</v>
      </c>
      <c r="Q6" s="24">
        <f>Revenue!R8</f>
        <v>622732.37099999993</v>
      </c>
      <c r="R6" s="24">
        <f>Revenue!S8</f>
        <v>703366.09589999996</v>
      </c>
      <c r="S6" s="24">
        <f>Revenue!T8</f>
        <v>788921.37150000001</v>
      </c>
      <c r="T6" s="24">
        <f>Revenue!U8</f>
        <v>879342.48149999999</v>
      </c>
      <c r="U6" s="24">
        <f>Revenue!V8</f>
        <v>974536.52819999994</v>
      </c>
      <c r="V6" s="24">
        <f>Revenue!W8</f>
        <v>1074432.9338999998</v>
      </c>
      <c r="W6" s="24">
        <f>Revenue!X8</f>
        <v>1178897.9180999999</v>
      </c>
      <c r="X6" s="24">
        <f>Revenue!Y8</f>
        <v>1287812.5617</v>
      </c>
      <c r="Y6" s="24">
        <f>Revenue!Z8</f>
        <v>1401028.2227999999</v>
      </c>
      <c r="Z6" s="24">
        <f>Revenue!AA8</f>
        <v>1518418.5515999999</v>
      </c>
      <c r="AA6" s="24">
        <f>Revenue!AB8</f>
        <v>1639808.8847999999</v>
      </c>
      <c r="AB6" s="24">
        <f>Revenue!AC8</f>
        <v>1765017.1004999999</v>
      </c>
      <c r="AC6" s="24">
        <f>Revenue!AD8</f>
        <v>1893868.5353999999</v>
      </c>
      <c r="AD6" s="24">
        <f>Revenue!AE8</f>
        <v>2026181.0675999997</v>
      </c>
      <c r="AE6" s="24">
        <f>Revenue!AF8</f>
        <v>2161724.2616999997</v>
      </c>
      <c r="AF6" s="24">
        <f>Revenue!AG8</f>
        <v>2300319.7250999999</v>
      </c>
      <c r="AG6" s="24">
        <f>Revenue!AH8</f>
        <v>2441751.8838</v>
      </c>
      <c r="AH6" s="24">
        <f>Revenue!AI8</f>
        <v>2585790.3023999999</v>
      </c>
      <c r="AI6" s="24">
        <f>Revenue!AJ8</f>
        <v>2732223.1082999995</v>
      </c>
      <c r="AJ6" s="24">
        <f>Revenue!AK8</f>
        <v>2880819.8660999998</v>
      </c>
      <c r="AK6" s="24">
        <f>Revenue!AL8</f>
        <v>3031361.2725</v>
      </c>
    </row>
    <row r="7" spans="1:37" x14ac:dyDescent="0.2">
      <c r="A7" s="6" t="s">
        <v>308</v>
      </c>
      <c r="B7" s="24">
        <f>Revenue!C9</f>
        <v>50216.540399999998</v>
      </c>
      <c r="C7" s="24">
        <f>Revenue!D9</f>
        <v>151810.48440000002</v>
      </c>
      <c r="D7" s="24">
        <f>Revenue!E9</f>
        <v>305451.43200000003</v>
      </c>
      <c r="E7" s="24">
        <f>Revenue!F9</f>
        <v>512433.83160000003</v>
      </c>
      <c r="F7" s="24">
        <f>Revenue!G9</f>
        <v>773650.37159999995</v>
      </c>
      <c r="G7" s="24">
        <f>Revenue!H9</f>
        <v>1090216.8287999998</v>
      </c>
      <c r="H7" s="24">
        <f>Revenue!I9</f>
        <v>1463070.6431999998</v>
      </c>
      <c r="I7" s="24">
        <f>Revenue!J9</f>
        <v>1893372.0084000002</v>
      </c>
      <c r="J7" s="24">
        <f>Revenue!K9</f>
        <v>2381835.2759999996</v>
      </c>
      <c r="K7" s="24">
        <f>Revenue!L9</f>
        <v>2929130.0460000001</v>
      </c>
      <c r="L7" s="24">
        <f>Revenue!M9</f>
        <v>3535925.9184000003</v>
      </c>
      <c r="M7" s="24">
        <f>Revenue!N9</f>
        <v>4202669.4047999997</v>
      </c>
      <c r="N7" s="24">
        <f>Revenue!O9</f>
        <v>4929673.4316000007</v>
      </c>
      <c r="O7" s="24">
        <f>Revenue!P9</f>
        <v>5717161.4220000003</v>
      </c>
      <c r="P7" s="24">
        <f>Revenue!Q9</f>
        <v>6564777.0372000001</v>
      </c>
      <c r="Q7" s="24">
        <f>Revenue!R9</f>
        <v>7472788.4519999996</v>
      </c>
      <c r="R7" s="24">
        <f>Revenue!S9</f>
        <v>8440393.150799999</v>
      </c>
      <c r="S7" s="24">
        <f>Revenue!T9</f>
        <v>9467056.4580000006</v>
      </c>
      <c r="T7" s="24">
        <f>Revenue!U9</f>
        <v>10552109.778000001</v>
      </c>
      <c r="U7" s="24">
        <f>Revenue!V9</f>
        <v>11694438.338399999</v>
      </c>
      <c r="V7" s="24">
        <f>Revenue!W9</f>
        <v>12893195.206799999</v>
      </c>
      <c r="W7" s="24">
        <f>Revenue!X9</f>
        <v>14146775.017199999</v>
      </c>
      <c r="X7" s="24">
        <f>Revenue!Y9</f>
        <v>15453750.7404</v>
      </c>
      <c r="Y7" s="24">
        <f>Revenue!Z9</f>
        <v>16812338.673599999</v>
      </c>
      <c r="Z7" s="24">
        <f>Revenue!AA9</f>
        <v>18221022.619199999</v>
      </c>
      <c r="AA7" s="24">
        <f>Revenue!AB9</f>
        <v>19677706.617599998</v>
      </c>
      <c r="AB7" s="24">
        <f>Revenue!AC9</f>
        <v>21180205.206</v>
      </c>
      <c r="AC7" s="24">
        <f>Revenue!AD9</f>
        <v>22726422.424800001</v>
      </c>
      <c r="AD7" s="24">
        <f>Revenue!AE9</f>
        <v>24314172.811199997</v>
      </c>
      <c r="AE7" s="24">
        <f>Revenue!AF9</f>
        <v>25940691.140399996</v>
      </c>
      <c r="AF7" s="24">
        <f>Revenue!AG9</f>
        <v>27603836.701200001</v>
      </c>
      <c r="AG7" s="24">
        <f>Revenue!AH9</f>
        <v>29301022.605599999</v>
      </c>
      <c r="AH7" s="24">
        <f>Revenue!AI9</f>
        <v>31029483.628799997</v>
      </c>
      <c r="AI7" s="24">
        <f>Revenue!AJ9</f>
        <v>32786677.299599994</v>
      </c>
      <c r="AJ7" s="24">
        <f>Revenue!AK9</f>
        <v>34569838.393199995</v>
      </c>
      <c r="AK7" s="24">
        <f>Revenue!AL9</f>
        <v>36376335.269999996</v>
      </c>
    </row>
    <row r="8" spans="1:37" x14ac:dyDescent="0.2">
      <c r="A8" s="6" t="s">
        <v>309</v>
      </c>
      <c r="B8" s="24">
        <f>'Cash Flow'!C18</f>
        <v>4865152.3416999998</v>
      </c>
      <c r="C8" s="24">
        <f>'Cash Flow'!D18</f>
        <v>4735295.2453999994</v>
      </c>
      <c r="D8" s="24">
        <f>'Cash Flow'!E18</f>
        <v>4612455.3798999991</v>
      </c>
      <c r="E8" s="24">
        <f>'Cash Flow'!F18</f>
        <v>4497178.2843749989</v>
      </c>
      <c r="F8" s="24">
        <f>'Cash Flow'!G18</f>
        <v>4391898.7425999986</v>
      </c>
      <c r="G8" s="24">
        <f>'Cash Flow'!H18</f>
        <v>4299116.674399999</v>
      </c>
      <c r="H8" s="24">
        <f>'Cash Flow'!I18</f>
        <v>4183890.5895999991</v>
      </c>
      <c r="I8" s="24">
        <f>'Cash Flow'!J18</f>
        <v>4086345.1901249993</v>
      </c>
      <c r="J8" s="24">
        <f>'Cash Flow'!K18</f>
        <v>4009153.2948749992</v>
      </c>
      <c r="K8" s="24">
        <f>'Cash Flow'!L18</f>
        <v>3955032.6327499994</v>
      </c>
      <c r="L8" s="24">
        <f>'Cash Flow'!M18</f>
        <v>3926746.0226499992</v>
      </c>
      <c r="M8" s="24">
        <f>'Cash Flow'!N18</f>
        <v>23927090.18045</v>
      </c>
      <c r="N8" s="24">
        <f>'Cash Flow'!O18</f>
        <v>23958893.999924999</v>
      </c>
      <c r="O8" s="24">
        <f>'Cash Flow'!P18</f>
        <v>24025009.798799999</v>
      </c>
      <c r="P8" s="24">
        <f>'Cash Flow'!Q18</f>
        <v>24128286.873624999</v>
      </c>
      <c r="Q8" s="24">
        <f>'Cash Flow'!R18</f>
        <v>24271603.311875001</v>
      </c>
      <c r="R8" s="24">
        <f>'Cash Flow'!S18</f>
        <v>24457811.6138</v>
      </c>
      <c r="S8" s="24">
        <f>'Cash Flow'!T18</f>
        <v>24689755.432425</v>
      </c>
      <c r="T8" s="24">
        <f>'Cash Flow'!U18</f>
        <v>24807761.383549999</v>
      </c>
      <c r="U8" s="24">
        <f>'Cash Flow'!V18</f>
        <v>24977115.219700001</v>
      </c>
      <c r="V8" s="24">
        <f>'Cash Flow'!W18</f>
        <v>25200579.110125002</v>
      </c>
      <c r="W8" s="24">
        <f>'Cash Flow'!X18</f>
        <v>25480851.638700001</v>
      </c>
      <c r="X8" s="24">
        <f>'Cash Flow'!Y18</f>
        <v>25820575.249975</v>
      </c>
      <c r="Y8" s="24">
        <f>'Cash Flow'!Z18</f>
        <v>26222322.077075001</v>
      </c>
      <c r="Z8" s="24">
        <f>'Cash Flow'!AA18</f>
        <v>26688604.030774999</v>
      </c>
      <c r="AA8" s="24">
        <f>'Cash Flow'!AB18</f>
        <v>27221846.894375</v>
      </c>
      <c r="AB8" s="24">
        <f>'Cash Flow'!AC18</f>
        <v>27824379.949749999</v>
      </c>
      <c r="AC8" s="24">
        <f>'Cash Flow'!AD18</f>
        <v>28498445.991299998</v>
      </c>
      <c r="AD8" s="24">
        <f>'Cash Flow'!AE18</f>
        <v>29246191.131999999</v>
      </c>
      <c r="AE8" s="24">
        <f>'Cash Flow'!AF18</f>
        <v>30069638.358275</v>
      </c>
      <c r="AF8" s="24">
        <f>'Cash Flow'!AG18</f>
        <v>30970718.0821</v>
      </c>
      <c r="AG8" s="24">
        <f>'Cash Flow'!AH18</f>
        <v>31951244.31495</v>
      </c>
      <c r="AH8" s="24">
        <f>'Cash Flow'!AI18</f>
        <v>33012906.50175</v>
      </c>
      <c r="AI8" s="24">
        <f>'Cash Flow'!AJ18</f>
        <v>34157275.862975001</v>
      </c>
      <c r="AJ8" s="24">
        <f>'Cash Flow'!AK18</f>
        <v>35385798.512550004</v>
      </c>
      <c r="AK8" s="24">
        <f>'Cash Flow'!AL18</f>
        <v>36699797.896925002</v>
      </c>
    </row>
    <row r="9" spans="1:37" x14ac:dyDescent="0.2">
      <c r="A9" s="6" t="s">
        <v>310</v>
      </c>
      <c r="B9" s="26">
        <f>Costs!C23</f>
        <v>-134847.65830000001</v>
      </c>
      <c r="C9" s="26">
        <f>Costs!D23</f>
        <v>-129857.0963</v>
      </c>
      <c r="D9" s="26">
        <f>Costs!E23</f>
        <v>-122839.86549999999</v>
      </c>
      <c r="E9" s="26">
        <f>Costs!F23</f>
        <v>-115277.09552500001</v>
      </c>
      <c r="F9" s="26">
        <f>Costs!G23</f>
        <v>-105279.54177500001</v>
      </c>
      <c r="G9" s="26">
        <f>Costs!H23</f>
        <v>-92782.068200000009</v>
      </c>
      <c r="H9" s="26">
        <f>Costs!I23</f>
        <v>-115226.08480000001</v>
      </c>
      <c r="I9" s="26">
        <f>Costs!J23</f>
        <v>-97545.399475000013</v>
      </c>
      <c r="J9" s="26">
        <f>Costs!K23</f>
        <v>-77191.895250000001</v>
      </c>
      <c r="K9" s="26">
        <f>Costs!L23</f>
        <v>-54120.662124999973</v>
      </c>
      <c r="L9" s="26">
        <f>Costs!M23</f>
        <v>-28286.610099999991</v>
      </c>
      <c r="M9" s="26">
        <f>Costs!N23</f>
        <v>344.1577999999281</v>
      </c>
      <c r="N9" s="26">
        <f>Costs!O23</f>
        <v>31803.819475000026</v>
      </c>
      <c r="O9" s="26">
        <f>Costs!P23</f>
        <v>66115.798874999979</v>
      </c>
      <c r="P9" s="26">
        <f>Costs!Q23</f>
        <v>103277.07482500002</v>
      </c>
      <c r="Q9" s="26">
        <f>Costs!R23</f>
        <v>143316.43824999995</v>
      </c>
      <c r="R9" s="26">
        <f>Costs!S23</f>
        <v>186208.30192499998</v>
      </c>
      <c r="S9" s="26">
        <f>Costs!T23</f>
        <v>231943.81862499996</v>
      </c>
      <c r="T9" s="26">
        <f>Costs!U23</f>
        <v>118005.95112499991</v>
      </c>
      <c r="U9" s="26">
        <f>Costs!V23</f>
        <v>169353.83614999987</v>
      </c>
      <c r="V9" s="26">
        <f>Costs!W23</f>
        <v>223463.89042499987</v>
      </c>
      <c r="W9" s="26">
        <f>Costs!X23</f>
        <v>280272.528575</v>
      </c>
      <c r="X9" s="26">
        <f>Costs!Y23</f>
        <v>339723.61127499992</v>
      </c>
      <c r="Y9" s="26">
        <f>Costs!Z23</f>
        <v>401746.82709999999</v>
      </c>
      <c r="Z9" s="26">
        <f>Costs!AA23</f>
        <v>466281.95369999995</v>
      </c>
      <c r="AA9" s="26">
        <f>Costs!AB23</f>
        <v>533242.86360000004</v>
      </c>
      <c r="AB9" s="26">
        <f>Costs!AC23</f>
        <v>602533.05537499976</v>
      </c>
      <c r="AC9" s="26">
        <f>Costs!AD23</f>
        <v>674066.04154999997</v>
      </c>
      <c r="AD9" s="26">
        <f>Costs!AE23</f>
        <v>747745.14069999987</v>
      </c>
      <c r="AE9" s="26">
        <f>Costs!AF23</f>
        <v>823447.22627499979</v>
      </c>
      <c r="AF9" s="26">
        <f>Costs!AG23</f>
        <v>901079.72382499976</v>
      </c>
      <c r="AG9" s="26">
        <f>Costs!AH23</f>
        <v>980526.23285000003</v>
      </c>
      <c r="AH9" s="26">
        <f>Costs!AI23</f>
        <v>1061662.1867999998</v>
      </c>
      <c r="AI9" s="26">
        <f>Costs!AJ23</f>
        <v>1144369.3612249997</v>
      </c>
      <c r="AJ9" s="26">
        <f>Costs!AK23</f>
        <v>1228522.6495749997</v>
      </c>
      <c r="AK9" s="26">
        <f>Costs!AL23</f>
        <v>1313999.3843749999</v>
      </c>
    </row>
    <row r="10" spans="1:37" x14ac:dyDescent="0.2">
      <c r="A10" s="6" t="s">
        <v>212</v>
      </c>
      <c r="B10" s="30">
        <f>Costs!C22</f>
        <v>0.46395351440817301</v>
      </c>
      <c r="C10" s="30">
        <f>Costs!D22</f>
        <v>0.57278049499458683</v>
      </c>
      <c r="D10" s="30">
        <f>Costs!E22</f>
        <v>0.62726709364387589</v>
      </c>
      <c r="E10" s="30">
        <f>Costs!F22</f>
        <v>0.66054466104068221</v>
      </c>
      <c r="F10" s="30">
        <f>Costs!G22</f>
        <v>0.68307622021440784</v>
      </c>
      <c r="G10" s="30">
        <f>Costs!H22</f>
        <v>0.69948675222651258</v>
      </c>
      <c r="H10" s="30">
        <f>Costs!I22</f>
        <v>0.71207295973170948</v>
      </c>
      <c r="I10" s="30">
        <f>Costs!J22</f>
        <v>0.72210152169481068</v>
      </c>
      <c r="J10" s="30">
        <f>Costs!K22</f>
        <v>0.73033021784836472</v>
      </c>
      <c r="K10" s="30">
        <f>Costs!L22</f>
        <v>0.73723993543713073</v>
      </c>
      <c r="L10" s="30">
        <f>Costs!M22</f>
        <v>0.7431561008464368</v>
      </c>
      <c r="M10" s="30">
        <f>Costs!N22</f>
        <v>0.74829968810017777</v>
      </c>
      <c r="N10" s="30">
        <f>Costs!O22</f>
        <v>0.75284082872715863</v>
      </c>
      <c r="O10" s="30">
        <f>Costs!P22</f>
        <v>0.75689309826872331</v>
      </c>
      <c r="P10" s="30">
        <f>Costs!Q22</f>
        <v>0.76054068689734422</v>
      </c>
      <c r="Q10" s="30">
        <f>Costs!R22</f>
        <v>0.76385931284757314</v>
      </c>
      <c r="R10" s="30">
        <f>Costs!S22</f>
        <v>0.7668947921207302</v>
      </c>
      <c r="S10" s="30">
        <f>Costs!T22</f>
        <v>0.76969308151135574</v>
      </c>
      <c r="T10" s="30">
        <f>Costs!U22</f>
        <v>0.77228860857668002</v>
      </c>
      <c r="U10" s="30">
        <f>Costs!V22</f>
        <v>0.77470557167771847</v>
      </c>
      <c r="V10" s="30">
        <f>Costs!W22</f>
        <v>0.77697049072184998</v>
      </c>
      <c r="W10" s="30">
        <f>Costs!X22</f>
        <v>0.77909974561689743</v>
      </c>
      <c r="X10" s="30">
        <f>Costs!Y22</f>
        <v>0.78110797457365722</v>
      </c>
      <c r="Y10" s="30">
        <f>Costs!Z22</f>
        <v>0.78300947471819915</v>
      </c>
      <c r="Z10" s="30">
        <f>Costs!AA22</f>
        <v>0.78481585353675676</v>
      </c>
      <c r="AA10" s="30">
        <f>Costs!AB22</f>
        <v>0.78653738051755173</v>
      </c>
      <c r="AB10" s="30">
        <f>Costs!AC22</f>
        <v>0.78817989928024501</v>
      </c>
      <c r="AC10" s="30">
        <f>Costs!AD22</f>
        <v>0.78975243394288663</v>
      </c>
      <c r="AD10" s="30">
        <f>Costs!AE22</f>
        <v>0.79126009182339463</v>
      </c>
      <c r="AE10" s="30">
        <f>Costs!AF22</f>
        <v>0.79270774356411067</v>
      </c>
      <c r="AF10" s="30">
        <f>Costs!AG22</f>
        <v>0.79410127434376099</v>
      </c>
      <c r="AG10" s="30">
        <f>Costs!AH22</f>
        <v>0.79544459315715177</v>
      </c>
      <c r="AH10" s="30">
        <f>Costs!AI22</f>
        <v>0.7967415805093786</v>
      </c>
      <c r="AI10" s="30">
        <f>Costs!AJ22</f>
        <v>0.79799462630875362</v>
      </c>
      <c r="AJ10" s="30">
        <f>Costs!AK22</f>
        <v>0.79920740383428024</v>
      </c>
      <c r="AK10" s="30">
        <f>Costs!AL22</f>
        <v>0.80038222250528535</v>
      </c>
    </row>
    <row r="11" spans="1:37" x14ac:dyDescent="0.2">
      <c r="A11" t="s">
        <v>311</v>
      </c>
      <c r="B11">
        <f>Revenue!C19</f>
        <v>0</v>
      </c>
      <c r="C11">
        <f>Revenue!D19</f>
        <v>0.92546819892036991</v>
      </c>
      <c r="D11">
        <f>Revenue!E19</f>
        <v>0.94951514692617622</v>
      </c>
      <c r="E11">
        <f>Revenue!F19</f>
        <v>0.95740221116396673</v>
      </c>
      <c r="F11">
        <f>Revenue!G19</f>
        <v>0.96147680347653308</v>
      </c>
      <c r="G11">
        <f>Revenue!H19</f>
        <v>0.96382713454641855</v>
      </c>
      <c r="H11">
        <f>Revenue!I19</f>
        <v>0.96554211253430255</v>
      </c>
      <c r="I11">
        <f>Revenue!J19</f>
        <v>0.9667081923717189</v>
      </c>
      <c r="J11">
        <f>Revenue!K19</f>
        <v>0.96754221561988107</v>
      </c>
      <c r="K11">
        <f>Revenue!L19</f>
        <v>0.96821082332479502</v>
      </c>
      <c r="L11">
        <f>Revenue!M19</f>
        <v>0.96871837338696298</v>
      </c>
      <c r="M11">
        <f>Revenue!N19</f>
        <v>0.96914539373342778</v>
      </c>
      <c r="N11">
        <f>Revenue!O19</f>
        <v>0.96946943581775591</v>
      </c>
      <c r="O11">
        <f>Revenue!P19</f>
        <v>0.96977665006267111</v>
      </c>
      <c r="P11">
        <f>Revenue!Q19</f>
        <v>0.96998686975328152</v>
      </c>
      <c r="Q11">
        <f>Revenue!R19</f>
        <v>0.97020911490340367</v>
      </c>
      <c r="R11">
        <f>Revenue!S19</f>
        <v>0.97037528261077022</v>
      </c>
      <c r="S11">
        <f>Revenue!T19</f>
        <v>0.9705235288978904</v>
      </c>
      <c r="T11">
        <f>Revenue!U19</f>
        <v>0.97065016484979316</v>
      </c>
      <c r="U11">
        <f>Revenue!V19</f>
        <v>0.97076596918626179</v>
      </c>
      <c r="V11">
        <f>Revenue!W19</f>
        <v>0.97088852200091402</v>
      </c>
      <c r="W11">
        <f>Revenue!X19</f>
        <v>0.97096750004974886</v>
      </c>
      <c r="X11">
        <f>Revenue!Y19</f>
        <v>0.97105389018330135</v>
      </c>
      <c r="Y11">
        <f>Revenue!Z19</f>
        <v>0.97112209904917568</v>
      </c>
      <c r="Z11">
        <f>Revenue!AA19</f>
        <v>0.97119387344007757</v>
      </c>
      <c r="AA11">
        <f>Revenue!AB19</f>
        <v>0.97125073402587103</v>
      </c>
      <c r="AB11">
        <f>Revenue!AC19</f>
        <v>0.97130371183118736</v>
      </c>
      <c r="AC11">
        <f>Revenue!AD19</f>
        <v>0.97135240475252271</v>
      </c>
      <c r="AD11">
        <f>Revenue!AE19</f>
        <v>0.9714006081797224</v>
      </c>
      <c r="AE11">
        <f>Revenue!AF19</f>
        <v>0.97143274654690104</v>
      </c>
      <c r="AF11">
        <f>Revenue!AG19</f>
        <v>0.97146920914349277</v>
      </c>
      <c r="AG11">
        <f>Revenue!AH19</f>
        <v>0.97150039579947967</v>
      </c>
      <c r="AH11">
        <f>Revenue!AI19</f>
        <v>0.97153371509154818</v>
      </c>
      <c r="AI11">
        <f>Revenue!AJ19</f>
        <v>0.97155897342806896</v>
      </c>
      <c r="AJ11">
        <f>Revenue!AK19</f>
        <v>0.97158742301674572</v>
      </c>
      <c r="AK11">
        <f>Revenue!AL19</f>
        <v>0.97160719378447913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3"/>
  <sheetViews>
    <sheetView topLeftCell="A8" zoomScale="130" zoomScaleNormal="130" workbookViewId="0">
      <selection activeCell="B20" sqref="B20"/>
    </sheetView>
  </sheetViews>
  <sheetFormatPr baseColWidth="10" defaultColWidth="8.83203125" defaultRowHeight="15" x14ac:dyDescent="0.2"/>
  <cols>
    <col min="1" max="1" width="42" customWidth="1"/>
    <col min="2" max="2" width="22" customWidth="1"/>
    <col min="3" max="4" width="18" customWidth="1"/>
    <col min="5" max="5" width="50" customWidth="1"/>
  </cols>
  <sheetData>
    <row r="1" spans="1:5" ht="18" x14ac:dyDescent="0.2">
      <c r="A1" s="40" t="s">
        <v>312</v>
      </c>
    </row>
    <row r="2" spans="1:5" x14ac:dyDescent="0.2">
      <c r="A2" s="41" t="s">
        <v>313</v>
      </c>
    </row>
    <row r="4" spans="1:5" ht="18" x14ac:dyDescent="0.2">
      <c r="A4" s="42" t="s">
        <v>314</v>
      </c>
      <c r="B4" s="43"/>
      <c r="C4" s="43"/>
      <c r="D4" s="43"/>
      <c r="E4" s="43"/>
    </row>
    <row r="5" spans="1:5" x14ac:dyDescent="0.2">
      <c r="A5" s="44" t="s">
        <v>112</v>
      </c>
      <c r="B5" s="44" t="s">
        <v>315</v>
      </c>
      <c r="C5" s="44" t="s">
        <v>316</v>
      </c>
      <c r="D5" s="44" t="s">
        <v>317</v>
      </c>
      <c r="E5" s="44" t="s">
        <v>318</v>
      </c>
    </row>
    <row r="6" spans="1:5" x14ac:dyDescent="0.2">
      <c r="A6" s="45" t="s">
        <v>319</v>
      </c>
      <c r="B6" s="30">
        <f>Costs!N22</f>
        <v>0.74829968810017777</v>
      </c>
      <c r="C6" s="46" t="s">
        <v>320</v>
      </c>
      <c r="D6" s="47" t="s">
        <v>321</v>
      </c>
      <c r="E6" s="41" t="s">
        <v>322</v>
      </c>
    </row>
    <row r="7" spans="1:5" x14ac:dyDescent="0.2">
      <c r="A7" s="45" t="s">
        <v>323</v>
      </c>
      <c r="B7" s="60">
        <f>Costs!T22</f>
        <v>0.76969308151135574</v>
      </c>
      <c r="C7" s="46"/>
      <c r="D7" s="48" t="s">
        <v>324</v>
      </c>
      <c r="E7" s="41" t="s">
        <v>325</v>
      </c>
    </row>
    <row r="8" spans="1:5" x14ac:dyDescent="0.2">
      <c r="A8" s="45" t="s">
        <v>326</v>
      </c>
      <c r="B8" s="30">
        <f>Costs!AL22</f>
        <v>0.80038222250528535</v>
      </c>
      <c r="C8" s="46"/>
      <c r="D8" s="48" t="s">
        <v>324</v>
      </c>
      <c r="E8" s="41" t="s">
        <v>327</v>
      </c>
    </row>
    <row r="9" spans="1:5" x14ac:dyDescent="0.2">
      <c r="A9" s="45" t="s">
        <v>328</v>
      </c>
      <c r="B9" s="61">
        <f>'Unit Economics'!B67</f>
        <v>12</v>
      </c>
      <c r="C9" s="46" t="s">
        <v>329</v>
      </c>
      <c r="D9" s="47" t="s">
        <v>321</v>
      </c>
      <c r="E9" s="41" t="s">
        <v>330</v>
      </c>
    </row>
    <row r="10" spans="1:5" x14ac:dyDescent="0.2">
      <c r="A10" s="45" t="s">
        <v>331</v>
      </c>
      <c r="B10" s="50">
        <f>Assumptions!B74</f>
        <v>4.693366708385482</v>
      </c>
      <c r="C10" s="46"/>
      <c r="E10" s="41"/>
    </row>
    <row r="11" spans="1:5" x14ac:dyDescent="0.2">
      <c r="A11" s="45" t="s">
        <v>332</v>
      </c>
      <c r="B11" s="50">
        <f>Assumptions!B75</f>
        <v>3.3350008337502084</v>
      </c>
      <c r="C11" s="46"/>
      <c r="E11" s="41"/>
    </row>
    <row r="12" spans="1:5" x14ac:dyDescent="0.2">
      <c r="A12" s="45" t="s">
        <v>333</v>
      </c>
      <c r="B12" s="62">
        <f>(Assumptions!B74*'Unit Economics'!B39+Assumptions!B75*'Unit Economics'!B40)/('Unit Economics'!B39+'Unit Economics'!B40)</f>
        <v>4.3229032880304077</v>
      </c>
      <c r="C12" s="46" t="s">
        <v>334</v>
      </c>
      <c r="D12" s="52" t="s">
        <v>335</v>
      </c>
      <c r="E12" s="41" t="s">
        <v>336</v>
      </c>
    </row>
    <row r="14" spans="1:5" ht="18" x14ac:dyDescent="0.2">
      <c r="A14" s="42" t="s">
        <v>337</v>
      </c>
      <c r="B14" s="43"/>
      <c r="C14" s="43"/>
      <c r="D14" s="43"/>
      <c r="E14" s="43"/>
    </row>
    <row r="15" spans="1:5" x14ac:dyDescent="0.2">
      <c r="A15" s="44" t="s">
        <v>112</v>
      </c>
      <c r="B15" s="44" t="s">
        <v>315</v>
      </c>
      <c r="C15" s="44" t="s">
        <v>316</v>
      </c>
      <c r="D15" s="44" t="s">
        <v>317</v>
      </c>
      <c r="E15" s="44" t="s">
        <v>318</v>
      </c>
    </row>
    <row r="16" spans="1:5" x14ac:dyDescent="0.2">
      <c r="A16" s="45" t="s">
        <v>229</v>
      </c>
      <c r="B16" s="50">
        <f>'Unit Economics'!B14</f>
        <v>10.010506912442397</v>
      </c>
      <c r="C16" s="46" t="s">
        <v>338</v>
      </c>
      <c r="D16" s="47" t="s">
        <v>321</v>
      </c>
      <c r="E16" s="41" t="s">
        <v>339</v>
      </c>
    </row>
    <row r="17" spans="1:5" x14ac:dyDescent="0.2">
      <c r="A17" s="45" t="s">
        <v>231</v>
      </c>
      <c r="B17" s="50">
        <f>'Unit Economics'!B15</f>
        <v>50.969892473118279</v>
      </c>
      <c r="C17" s="46" t="s">
        <v>340</v>
      </c>
      <c r="D17" s="47" t="s">
        <v>321</v>
      </c>
      <c r="E17" s="41" t="s">
        <v>341</v>
      </c>
    </row>
    <row r="18" spans="1:5" x14ac:dyDescent="0.2">
      <c r="A18" s="45" t="s">
        <v>342</v>
      </c>
      <c r="B18" s="29">
        <f>'Unit Economics'!B12</f>
        <v>108.614</v>
      </c>
      <c r="E18" s="41"/>
    </row>
    <row r="19" spans="1:5" x14ac:dyDescent="0.2">
      <c r="A19" s="45" t="s">
        <v>343</v>
      </c>
      <c r="B19" s="29">
        <f>'Unit Economics'!B13</f>
        <v>553.02333333333331</v>
      </c>
      <c r="E19" s="41"/>
    </row>
    <row r="20" spans="1:5" x14ac:dyDescent="0.2">
      <c r="A20" s="45" t="s">
        <v>344</v>
      </c>
      <c r="B20" s="29">
        <f>'Unit Economics'!B5</f>
        <v>10.85</v>
      </c>
      <c r="E20" s="41"/>
    </row>
    <row r="21" spans="1:5" x14ac:dyDescent="0.2">
      <c r="A21" s="45" t="s">
        <v>345</v>
      </c>
      <c r="B21" s="30">
        <f>'Unit Economics'!B21</f>
        <v>0.73084635364097594</v>
      </c>
      <c r="C21" s="46" t="s">
        <v>346</v>
      </c>
      <c r="D21" s="53" t="s">
        <v>347</v>
      </c>
      <c r="E21" s="41"/>
    </row>
    <row r="22" spans="1:5" x14ac:dyDescent="0.2">
      <c r="A22" s="45" t="s">
        <v>348</v>
      </c>
      <c r="B22" s="30">
        <f>'Unit Economics'!B26</f>
        <v>0.89241932794354162</v>
      </c>
      <c r="C22" s="46" t="s">
        <v>349</v>
      </c>
      <c r="D22" s="53" t="s">
        <v>347</v>
      </c>
      <c r="E22" s="41"/>
    </row>
    <row r="23" spans="1:5" x14ac:dyDescent="0.2">
      <c r="A23" s="45" t="s">
        <v>350</v>
      </c>
      <c r="B23" s="30">
        <f>Costs!N22</f>
        <v>0.74829968810017777</v>
      </c>
      <c r="C23" s="46" t="s">
        <v>351</v>
      </c>
      <c r="D23" s="47" t="s">
        <v>321</v>
      </c>
      <c r="E23" s="41" t="s">
        <v>352</v>
      </c>
    </row>
    <row r="24" spans="1:5" x14ac:dyDescent="0.2">
      <c r="A24" s="45" t="s">
        <v>353</v>
      </c>
      <c r="B24" s="49">
        <f>'Unit Economics'!B67</f>
        <v>12</v>
      </c>
      <c r="C24" s="46"/>
      <c r="D24" s="47" t="s">
        <v>321</v>
      </c>
      <c r="E24" s="41" t="s">
        <v>355</v>
      </c>
    </row>
    <row r="26" spans="1:5" ht="18" x14ac:dyDescent="0.2">
      <c r="A26" s="42" t="s">
        <v>356</v>
      </c>
      <c r="B26" s="43"/>
      <c r="C26" s="43"/>
      <c r="D26" s="43"/>
      <c r="E26" s="43"/>
    </row>
    <row r="27" spans="1:5" x14ac:dyDescent="0.2">
      <c r="A27" s="44" t="s">
        <v>112</v>
      </c>
      <c r="B27" s="44" t="s">
        <v>315</v>
      </c>
      <c r="C27" s="44" t="s">
        <v>316</v>
      </c>
      <c r="D27" s="44" t="s">
        <v>317</v>
      </c>
      <c r="E27" s="44" t="s">
        <v>318</v>
      </c>
    </row>
    <row r="28" spans="1:5" x14ac:dyDescent="0.2">
      <c r="A28" s="45" t="s">
        <v>357</v>
      </c>
      <c r="B28" s="54">
        <f>'Unit Economics'!B67</f>
        <v>12</v>
      </c>
      <c r="E28" s="41" t="s">
        <v>358</v>
      </c>
    </row>
    <row r="29" spans="1:5" x14ac:dyDescent="0.2">
      <c r="A29" s="45" t="s">
        <v>359</v>
      </c>
      <c r="B29" s="24">
        <f>'Unit Economics'!B71</f>
        <v>350222.45039999997</v>
      </c>
      <c r="E29" s="41" t="s">
        <v>360</v>
      </c>
    </row>
    <row r="30" spans="1:5" x14ac:dyDescent="0.2">
      <c r="A30" s="45" t="s">
        <v>361</v>
      </c>
      <c r="B30" s="24">
        <f>'Unit Economics'!B72</f>
        <v>4202669.4047999997</v>
      </c>
      <c r="E30" s="41"/>
    </row>
    <row r="31" spans="1:5" x14ac:dyDescent="0.2">
      <c r="A31" s="45" t="s">
        <v>362</v>
      </c>
      <c r="B31" s="59">
        <f>SUMPRODUCT(--('Cash Flow'!C21:AL21&lt;0))+1</f>
        <v>21</v>
      </c>
      <c r="E31" s="41" t="s">
        <v>363</v>
      </c>
    </row>
    <row r="32" spans="1:5" x14ac:dyDescent="0.2">
      <c r="A32" s="45" t="s">
        <v>364</v>
      </c>
      <c r="B32" s="55">
        <f>SUMPRODUCT(--(Revenue!C8:AL8&lt;Assumptions!$B$56))+1</f>
        <v>12</v>
      </c>
      <c r="E32" s="41" t="s">
        <v>365</v>
      </c>
    </row>
    <row r="33" spans="1:5" x14ac:dyDescent="0.2">
      <c r="A33" s="45" t="s">
        <v>366</v>
      </c>
      <c r="B33" s="24">
        <f>Revenue!T9</f>
        <v>9467056.4580000006</v>
      </c>
      <c r="E33" s="41"/>
    </row>
    <row r="34" spans="1:5" x14ac:dyDescent="0.2">
      <c r="A34" s="45" t="s">
        <v>367</v>
      </c>
      <c r="B34" s="24">
        <f>Costs!T23</f>
        <v>231943.81862499996</v>
      </c>
      <c r="E34" s="41" t="s">
        <v>368</v>
      </c>
    </row>
    <row r="36" spans="1:5" ht="18" x14ac:dyDescent="0.2">
      <c r="A36" s="42" t="s">
        <v>369</v>
      </c>
      <c r="B36" s="43"/>
      <c r="C36" s="43"/>
      <c r="D36" s="43"/>
      <c r="E36" s="43"/>
    </row>
    <row r="37" spans="1:5" x14ac:dyDescent="0.2">
      <c r="A37" s="44" t="s">
        <v>112</v>
      </c>
      <c r="B37" s="44" t="s">
        <v>315</v>
      </c>
      <c r="C37" s="44" t="s">
        <v>316</v>
      </c>
      <c r="D37" s="44" t="s">
        <v>317</v>
      </c>
      <c r="E37" s="44" t="s">
        <v>318</v>
      </c>
    </row>
    <row r="38" spans="1:5" x14ac:dyDescent="0.2">
      <c r="A38" s="45" t="s">
        <v>370</v>
      </c>
      <c r="B38" s="64">
        <v>3500000</v>
      </c>
      <c r="C38" s="63" t="s">
        <v>371</v>
      </c>
      <c r="D38" s="52" t="s">
        <v>372</v>
      </c>
      <c r="E38" s="41" t="s">
        <v>373</v>
      </c>
    </row>
    <row r="39" spans="1:5" x14ac:dyDescent="0.2">
      <c r="A39" s="45" t="s">
        <v>374</v>
      </c>
      <c r="B39" s="64">
        <v>1500000</v>
      </c>
      <c r="C39" s="63" t="s">
        <v>375</v>
      </c>
      <c r="D39" s="52" t="s">
        <v>372</v>
      </c>
      <c r="E39" s="41" t="s">
        <v>376</v>
      </c>
    </row>
    <row r="40" spans="1:5" x14ac:dyDescent="0.2">
      <c r="A40" s="45" t="s">
        <v>377</v>
      </c>
      <c r="B40" s="65">
        <f>Revenue!AL17</f>
        <v>38930137.934100002</v>
      </c>
      <c r="C40" s="63" t="s">
        <v>378</v>
      </c>
      <c r="D40" s="47" t="s">
        <v>321</v>
      </c>
      <c r="E40" s="41" t="s">
        <v>379</v>
      </c>
    </row>
    <row r="41" spans="1:5" x14ac:dyDescent="0.2">
      <c r="A41" s="45" t="s">
        <v>380</v>
      </c>
      <c r="B41" s="56">
        <f>SUM(Revenue!C16:N16)</f>
        <v>1607481.8988000001</v>
      </c>
      <c r="E41" s="41"/>
    </row>
    <row r="42" spans="1:5" x14ac:dyDescent="0.2">
      <c r="A42" s="45" t="s">
        <v>381</v>
      </c>
      <c r="B42" s="56">
        <f>SUM(Revenue!O16:Z16)</f>
        <v>10345371.475499999</v>
      </c>
      <c r="E42" s="41"/>
    </row>
    <row r="43" spans="1:5" x14ac:dyDescent="0.2">
      <c r="A43" s="45" t="s">
        <v>382</v>
      </c>
      <c r="B43" s="56">
        <f>SUM(Revenue!AA16:AL16)</f>
        <v>26977284.559799999</v>
      </c>
      <c r="E43" s="41"/>
    </row>
    <row r="45" spans="1:5" ht="18" x14ac:dyDescent="0.2">
      <c r="A45" s="42" t="s">
        <v>383</v>
      </c>
      <c r="B45" s="43"/>
      <c r="C45" s="43"/>
      <c r="D45" s="43"/>
      <c r="E45" s="43"/>
    </row>
    <row r="46" spans="1:5" x14ac:dyDescent="0.2">
      <c r="A46" s="44" t="s">
        <v>112</v>
      </c>
      <c r="B46" s="44" t="s">
        <v>315</v>
      </c>
      <c r="C46" s="44" t="s">
        <v>316</v>
      </c>
      <c r="D46" s="44" t="s">
        <v>317</v>
      </c>
      <c r="E46" s="44" t="s">
        <v>318</v>
      </c>
    </row>
    <row r="47" spans="1:5" x14ac:dyDescent="0.2">
      <c r="A47" s="45" t="s">
        <v>384</v>
      </c>
      <c r="B47" s="46">
        <v>35</v>
      </c>
      <c r="C47" s="46" t="s">
        <v>385</v>
      </c>
      <c r="D47" s="48" t="s">
        <v>386</v>
      </c>
      <c r="E47" s="41" t="s">
        <v>387</v>
      </c>
    </row>
    <row r="48" spans="1:5" x14ac:dyDescent="0.2">
      <c r="A48" s="45" t="s">
        <v>388</v>
      </c>
      <c r="B48" s="57">
        <f>Assumptions!C48</f>
        <v>12</v>
      </c>
      <c r="C48" s="46" t="s">
        <v>389</v>
      </c>
      <c r="D48" s="52" t="s">
        <v>335</v>
      </c>
      <c r="E48" s="41" t="s">
        <v>390</v>
      </c>
    </row>
    <row r="49" spans="1:5" x14ac:dyDescent="0.2">
      <c r="A49" s="45" t="s">
        <v>391</v>
      </c>
      <c r="B49" s="51">
        <f>B47/B48</f>
        <v>2.9166666666666665</v>
      </c>
      <c r="C49" s="46" t="s">
        <v>392</v>
      </c>
      <c r="E49" s="41"/>
    </row>
    <row r="52" spans="1:5" ht="18" x14ac:dyDescent="0.2">
      <c r="A52" s="42" t="s">
        <v>393</v>
      </c>
      <c r="B52" s="43"/>
      <c r="C52" s="43"/>
      <c r="D52" s="43"/>
      <c r="E52" s="43"/>
    </row>
    <row r="54" spans="1:5" x14ac:dyDescent="0.2">
      <c r="A54" s="44" t="s">
        <v>394</v>
      </c>
      <c r="B54" s="44" t="s">
        <v>316</v>
      </c>
      <c r="C54" s="44" t="s">
        <v>315</v>
      </c>
      <c r="D54" s="44" t="s">
        <v>395</v>
      </c>
    </row>
    <row r="55" spans="1:5" x14ac:dyDescent="0.2">
      <c r="A55" s="45" t="s">
        <v>396</v>
      </c>
      <c r="B55" s="58" t="s">
        <v>320</v>
      </c>
      <c r="C55" s="45" t="s">
        <v>397</v>
      </c>
      <c r="D55" s="45" t="s">
        <v>398</v>
      </c>
    </row>
    <row r="56" spans="1:5" x14ac:dyDescent="0.2">
      <c r="A56" s="45" t="s">
        <v>399</v>
      </c>
      <c r="B56" s="58" t="s">
        <v>329</v>
      </c>
      <c r="C56" s="45" t="s">
        <v>400</v>
      </c>
      <c r="D56" s="45" t="s">
        <v>401</v>
      </c>
    </row>
    <row r="57" spans="1:5" x14ac:dyDescent="0.2">
      <c r="A57" s="45" t="s">
        <v>402</v>
      </c>
      <c r="B57" s="58" t="s">
        <v>334</v>
      </c>
      <c r="C57" s="45" t="s">
        <v>403</v>
      </c>
      <c r="D57" s="45" t="s">
        <v>404</v>
      </c>
    </row>
    <row r="58" spans="1:5" x14ac:dyDescent="0.2">
      <c r="A58" s="45" t="s">
        <v>405</v>
      </c>
      <c r="B58" s="58" t="s">
        <v>338</v>
      </c>
      <c r="C58" s="45" t="s">
        <v>406</v>
      </c>
      <c r="D58" s="45" t="s">
        <v>407</v>
      </c>
    </row>
    <row r="59" spans="1:5" x14ac:dyDescent="0.2">
      <c r="A59" s="45" t="s">
        <v>408</v>
      </c>
      <c r="B59" s="58" t="s">
        <v>340</v>
      </c>
      <c r="C59" s="45" t="s">
        <v>409</v>
      </c>
      <c r="D59" s="45" t="s">
        <v>410</v>
      </c>
    </row>
    <row r="60" spans="1:5" x14ac:dyDescent="0.2">
      <c r="A60" s="45" t="s">
        <v>411</v>
      </c>
      <c r="B60" s="58" t="s">
        <v>351</v>
      </c>
      <c r="C60" s="45" t="s">
        <v>397</v>
      </c>
      <c r="D60" s="45" t="s">
        <v>412</v>
      </c>
    </row>
    <row r="61" spans="1:5" x14ac:dyDescent="0.2">
      <c r="A61" s="45" t="s">
        <v>413</v>
      </c>
      <c r="B61" s="58" t="s">
        <v>354</v>
      </c>
      <c r="C61" s="45" t="s">
        <v>400</v>
      </c>
      <c r="D61" s="45" t="s">
        <v>414</v>
      </c>
    </row>
    <row r="62" spans="1:5" x14ac:dyDescent="0.2">
      <c r="A62" s="45" t="s">
        <v>415</v>
      </c>
      <c r="B62" s="58" t="s">
        <v>378</v>
      </c>
      <c r="C62" s="45" t="s">
        <v>416</v>
      </c>
      <c r="D62" s="45" t="s">
        <v>417</v>
      </c>
    </row>
    <row r="63" spans="1:5" x14ac:dyDescent="0.2">
      <c r="A63" s="45" t="s">
        <v>418</v>
      </c>
      <c r="B63" s="58" t="s">
        <v>419</v>
      </c>
      <c r="C63" s="45" t="s">
        <v>420</v>
      </c>
      <c r="D63" s="45" t="s">
        <v>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Assumptions</vt:lpstr>
      <vt:lpstr>User Growth</vt:lpstr>
      <vt:lpstr>Revenue</vt:lpstr>
      <vt:lpstr>Costs</vt:lpstr>
      <vt:lpstr>CAC Analysis</vt:lpstr>
      <vt:lpstr>Unit Economics</vt:lpstr>
      <vt:lpstr>Cash Flow</vt:lpstr>
      <vt:lpstr>Dashboard</vt:lpstr>
      <vt:lpstr>Slide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Shinji Fujiwara</cp:lastModifiedBy>
  <dcterms:created xsi:type="dcterms:W3CDTF">2026-02-11T05:39:24Z</dcterms:created>
  <dcterms:modified xsi:type="dcterms:W3CDTF">2026-03-16T12:59:33Z</dcterms:modified>
</cp:coreProperties>
</file>