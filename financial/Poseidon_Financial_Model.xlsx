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/>
  <mc:AlternateContent xmlns:mc="http://schemas.openxmlformats.org/markup-compatibility/2006">
    <mc:Choice Requires="x15">
      <x15ac:absPath xmlns:x15ac="http://schemas.microsoft.com/office/spreadsheetml/2010/11/ac" url="/Users/shinjifujiwara/code/poseidon-mit.github.io/financial/"/>
    </mc:Choice>
  </mc:AlternateContent>
  <xr:revisionPtr revIDLastSave="0" documentId="8_{E6F6E248-F23C-EF4F-BBAD-AD50B1C9D90C}" xr6:coauthVersionLast="47" xr6:coauthVersionMax="47" xr10:uidLastSave="{00000000-0000-0000-0000-000000000000}"/>
  <bookViews>
    <workbookView xWindow="-51200" yWindow="620" windowWidth="51200" windowHeight="42580" xr2:uid="{00000000-000D-0000-FFFF-FFFF00000000}"/>
  </bookViews>
  <sheets>
    <sheet name="Assumptions" sheetId="1" r:id="rId1"/>
    <sheet name="User Growth" sheetId="2" r:id="rId2"/>
    <sheet name="Revenue" sheetId="3" r:id="rId3"/>
    <sheet name="Costs" sheetId="4" r:id="rId4"/>
    <sheet name="Unit Economics" sheetId="5" r:id="rId5"/>
    <sheet name="Cash Flow" sheetId="6" r:id="rId6"/>
    <sheet name="Dashboard" sheetId="7" r:id="rId7"/>
    <sheet name="Slide Metrics" sheetId="8" r:id="rId8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7" l="1"/>
  <c r="C14" i="6"/>
  <c r="C11" i="6"/>
  <c r="AL10" i="6"/>
  <c r="AK10" i="6"/>
  <c r="AJ10" i="6"/>
  <c r="AI10" i="6"/>
  <c r="AH10" i="6"/>
  <c r="AG10" i="6"/>
  <c r="AF10" i="6"/>
  <c r="AE10" i="6"/>
  <c r="AD10" i="6"/>
  <c r="AC10" i="6"/>
  <c r="AB10" i="6"/>
  <c r="AA10" i="6"/>
  <c r="Z10" i="6"/>
  <c r="Y10" i="6"/>
  <c r="X10" i="6"/>
  <c r="W10" i="6"/>
  <c r="V10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C12" i="6" s="1"/>
  <c r="B61" i="5"/>
  <c r="B56" i="5"/>
  <c r="B51" i="5"/>
  <c r="B41" i="5"/>
  <c r="B45" i="5" s="1"/>
  <c r="B24" i="5"/>
  <c r="B19" i="5"/>
  <c r="B18" i="5"/>
  <c r="B20" i="5" s="1"/>
  <c r="B21" i="5" s="1"/>
  <c r="B21" i="8" s="1"/>
  <c r="B12" i="5"/>
  <c r="B11" i="5"/>
  <c r="B10" i="5"/>
  <c r="AL17" i="4"/>
  <c r="AK17" i="4"/>
  <c r="AJ17" i="4"/>
  <c r="AI17" i="4"/>
  <c r="AH17" i="4"/>
  <c r="AG17" i="4"/>
  <c r="AF17" i="4"/>
  <c r="AE17" i="4"/>
  <c r="AD17" i="4"/>
  <c r="AC17" i="4"/>
  <c r="AB17" i="4"/>
  <c r="AA17" i="4"/>
  <c r="Z17" i="4"/>
  <c r="Y17" i="4"/>
  <c r="X17" i="4"/>
  <c r="W17" i="4"/>
  <c r="V17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AL15" i="4"/>
  <c r="AK15" i="4"/>
  <c r="AJ15" i="4"/>
  <c r="AI15" i="4"/>
  <c r="AH15" i="4"/>
  <c r="AG15" i="4"/>
  <c r="AF15" i="4"/>
  <c r="AE15" i="4"/>
  <c r="AD15" i="4"/>
  <c r="AC15" i="4"/>
  <c r="AB15" i="4"/>
  <c r="AA15" i="4"/>
  <c r="Z15" i="4"/>
  <c r="Y15" i="4"/>
  <c r="X15" i="4"/>
  <c r="W15" i="4"/>
  <c r="V15" i="4"/>
  <c r="U15" i="4"/>
  <c r="T15" i="4"/>
  <c r="S15" i="4"/>
  <c r="R15" i="4"/>
  <c r="Q15" i="4"/>
  <c r="P15" i="4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K11" i="4"/>
  <c r="J11" i="4"/>
  <c r="T10" i="4"/>
  <c r="T11" i="4" s="1"/>
  <c r="R10" i="4"/>
  <c r="R11" i="4" s="1"/>
  <c r="Q10" i="4"/>
  <c r="Q11" i="4" s="1"/>
  <c r="P10" i="4"/>
  <c r="P11" i="4" s="1"/>
  <c r="O10" i="4"/>
  <c r="O11" i="4" s="1"/>
  <c r="K10" i="4"/>
  <c r="J10" i="4"/>
  <c r="C23" i="2"/>
  <c r="C17" i="2"/>
  <c r="C8" i="2"/>
  <c r="C7" i="2"/>
  <c r="D7" i="2" s="1"/>
  <c r="E7" i="2" s="1"/>
  <c r="F7" i="2" s="1"/>
  <c r="G7" i="2" s="1"/>
  <c r="H7" i="2" s="1"/>
  <c r="I7" i="2" s="1"/>
  <c r="J7" i="2" s="1"/>
  <c r="K7" i="2" s="1"/>
  <c r="L7" i="2" s="1"/>
  <c r="M7" i="2" s="1"/>
  <c r="N7" i="2" s="1"/>
  <c r="O7" i="2" s="1"/>
  <c r="P7" i="2" s="1"/>
  <c r="Q7" i="2" s="1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AC7" i="2" s="1"/>
  <c r="AD7" i="2" s="1"/>
  <c r="AE7" i="2" s="1"/>
  <c r="AF7" i="2" s="1"/>
  <c r="AG7" i="2" s="1"/>
  <c r="AH7" i="2" s="1"/>
  <c r="AI7" i="2" s="1"/>
  <c r="AJ7" i="2" s="1"/>
  <c r="AK7" i="2" s="1"/>
  <c r="AL7" i="2" s="1"/>
  <c r="C6" i="2"/>
  <c r="B74" i="1"/>
  <c r="B11" i="8" s="1"/>
  <c r="B73" i="1"/>
  <c r="D47" i="1"/>
  <c r="C47" i="1"/>
  <c r="S10" i="4" s="1"/>
  <c r="S11" i="4" s="1"/>
  <c r="B47" i="1"/>
  <c r="B36" i="1"/>
  <c r="B29" i="1"/>
  <c r="B28" i="1"/>
  <c r="B44" i="5" s="1"/>
  <c r="C8" i="1"/>
  <c r="C7" i="1"/>
  <c r="AL10" i="4" l="1"/>
  <c r="AL11" i="4" s="1"/>
  <c r="Z10" i="4"/>
  <c r="Z11" i="4" s="1"/>
  <c r="AK10" i="4"/>
  <c r="AK11" i="4" s="1"/>
  <c r="Y10" i="4"/>
  <c r="Y11" i="4" s="1"/>
  <c r="AJ10" i="4"/>
  <c r="AJ11" i="4" s="1"/>
  <c r="X10" i="4"/>
  <c r="X11" i="4" s="1"/>
  <c r="AA10" i="4"/>
  <c r="AA11" i="4" s="1"/>
  <c r="W10" i="4"/>
  <c r="W11" i="4" s="1"/>
  <c r="B60" i="5"/>
  <c r="B62" i="5" s="1"/>
  <c r="V10" i="4"/>
  <c r="V11" i="4" s="1"/>
  <c r="U10" i="4"/>
  <c r="U11" i="4" s="1"/>
  <c r="AH10" i="4"/>
  <c r="AH11" i="4" s="1"/>
  <c r="AG10" i="4"/>
  <c r="AG11" i="4" s="1"/>
  <c r="AB10" i="4"/>
  <c r="AB11" i="4" s="1"/>
  <c r="AE10" i="4"/>
  <c r="AE11" i="4" s="1"/>
  <c r="AI10" i="4"/>
  <c r="AI11" i="4" s="1"/>
  <c r="AF10" i="4"/>
  <c r="AF11" i="4" s="1"/>
  <c r="AD10" i="4"/>
  <c r="AD11" i="4" s="1"/>
  <c r="AC10" i="4"/>
  <c r="AC11" i="4" s="1"/>
  <c r="C9" i="2"/>
  <c r="C11" i="2" s="1"/>
  <c r="D6" i="2"/>
  <c r="H10" i="4"/>
  <c r="H11" i="4" s="1"/>
  <c r="G10" i="4"/>
  <c r="G11" i="4" s="1"/>
  <c r="F10" i="4"/>
  <c r="F11" i="4" s="1"/>
  <c r="D10" i="4"/>
  <c r="D11" i="4" s="1"/>
  <c r="B50" i="5"/>
  <c r="B52" i="5" s="1"/>
  <c r="C10" i="4"/>
  <c r="C11" i="4" s="1"/>
  <c r="E10" i="4"/>
  <c r="E11" i="4" s="1"/>
  <c r="B10" i="8"/>
  <c r="B12" i="8"/>
  <c r="B46" i="5"/>
  <c r="B47" i="5" s="1"/>
  <c r="B23" i="5"/>
  <c r="B25" i="5" s="1"/>
  <c r="B26" i="5" s="1"/>
  <c r="B22" i="8" s="1"/>
  <c r="B13" i="5"/>
  <c r="B6" i="5"/>
  <c r="B7" i="5"/>
  <c r="B5" i="5"/>
  <c r="B20" i="8" s="1"/>
  <c r="B18" i="8"/>
  <c r="B14" i="5"/>
  <c r="B16" i="8" s="1"/>
  <c r="B48" i="8"/>
  <c r="B49" i="8" s="1"/>
  <c r="N10" i="4"/>
  <c r="N11" i="4" s="1"/>
  <c r="B55" i="5"/>
  <c r="B57" i="5" s="1"/>
  <c r="M10" i="4"/>
  <c r="M11" i="4" s="1"/>
  <c r="L10" i="4"/>
  <c r="L11" i="4" s="1"/>
  <c r="I10" i="4"/>
  <c r="I11" i="4" s="1"/>
  <c r="B53" i="5" l="1"/>
  <c r="B63" i="5"/>
  <c r="B58" i="5"/>
  <c r="C14" i="2"/>
  <c r="C13" i="2"/>
  <c r="C12" i="2"/>
  <c r="E6" i="2"/>
  <c r="B15" i="5"/>
  <c r="B17" i="8" s="1"/>
  <c r="B19" i="8"/>
  <c r="F6" i="2" l="1"/>
  <c r="C18" i="2"/>
  <c r="C11" i="3"/>
  <c r="C15" i="2"/>
  <c r="C6" i="4" l="1"/>
  <c r="C20" i="2"/>
  <c r="C19" i="2"/>
  <c r="C21" i="2" s="1"/>
  <c r="G6" i="2"/>
  <c r="D17" i="2" l="1"/>
  <c r="C6" i="3"/>
  <c r="H6" i="2"/>
  <c r="C12" i="3"/>
  <c r="C24" i="2"/>
  <c r="C25" i="2" l="1"/>
  <c r="C13" i="3" s="1"/>
  <c r="I6" i="2"/>
  <c r="C14" i="3"/>
  <c r="J6" i="2" l="1"/>
  <c r="C26" i="2"/>
  <c r="C7" i="3" l="1"/>
  <c r="C8" i="3" s="1"/>
  <c r="D23" i="2"/>
  <c r="C29" i="2"/>
  <c r="C28" i="2"/>
  <c r="D8" i="2"/>
  <c r="D9" i="2" s="1"/>
  <c r="D11" i="2" s="1"/>
  <c r="K6" i="2"/>
  <c r="L6" i="2" l="1"/>
  <c r="B4" i="7"/>
  <c r="C13" i="4"/>
  <c r="C14" i="4"/>
  <c r="C30" i="2"/>
  <c r="D13" i="2"/>
  <c r="D12" i="2"/>
  <c r="D14" i="2"/>
  <c r="B5" i="7"/>
  <c r="C7" i="4"/>
  <c r="C8" i="4" s="1"/>
  <c r="C18" i="3"/>
  <c r="B6" i="7"/>
  <c r="C9" i="3"/>
  <c r="B7" i="7" s="1"/>
  <c r="C16" i="3"/>
  <c r="D11" i="3" l="1"/>
  <c r="D18" i="2"/>
  <c r="D15" i="2"/>
  <c r="C6" i="6"/>
  <c r="C16" i="4"/>
  <c r="C18" i="4" s="1"/>
  <c r="C20" i="4" s="1"/>
  <c r="C17" i="3"/>
  <c r="C21" i="4"/>
  <c r="C22" i="4" s="1"/>
  <c r="B10" i="7" s="1"/>
  <c r="M6" i="2"/>
  <c r="C7" i="6" l="1"/>
  <c r="C16" i="6" s="1"/>
  <c r="C23" i="4"/>
  <c r="C15" i="6"/>
  <c r="C17" i="6" s="1"/>
  <c r="C18" i="6" s="1"/>
  <c r="C8" i="6"/>
  <c r="N6" i="2"/>
  <c r="D6" i="4"/>
  <c r="D20" i="2"/>
  <c r="D19" i="2"/>
  <c r="D21" i="2" s="1"/>
  <c r="D6" i="3" l="1"/>
  <c r="E17" i="2"/>
  <c r="O6" i="2"/>
  <c r="D14" i="6"/>
  <c r="B8" i="7"/>
  <c r="B9" i="7"/>
  <c r="C24" i="4"/>
  <c r="C21" i="6"/>
  <c r="C20" i="6"/>
  <c r="D12" i="3"/>
  <c r="D24" i="2"/>
  <c r="P6" i="2" l="1"/>
  <c r="D25" i="2"/>
  <c r="D13" i="3" s="1"/>
  <c r="D19" i="3" s="1"/>
  <c r="C11" i="7" s="1"/>
  <c r="Q6" i="2" l="1"/>
  <c r="D26" i="2"/>
  <c r="D14" i="3"/>
  <c r="D7" i="3" l="1"/>
  <c r="D8" i="3" s="1"/>
  <c r="E23" i="2"/>
  <c r="D29" i="2"/>
  <c r="D28" i="2"/>
  <c r="E8" i="2"/>
  <c r="E9" i="2" s="1"/>
  <c r="E11" i="2" s="1"/>
  <c r="R6" i="2"/>
  <c r="S6" i="2" l="1"/>
  <c r="C5" i="7"/>
  <c r="D7" i="4"/>
  <c r="D8" i="4" s="1"/>
  <c r="D18" i="3"/>
  <c r="E13" i="2"/>
  <c r="E12" i="2"/>
  <c r="E14" i="2"/>
  <c r="E15" i="2" s="1"/>
  <c r="C4" i="7"/>
  <c r="D13" i="4"/>
  <c r="D14" i="4"/>
  <c r="D30" i="2"/>
  <c r="C6" i="7"/>
  <c r="D11" i="6"/>
  <c r="D12" i="6" s="1"/>
  <c r="D9" i="3"/>
  <c r="C7" i="7" s="1"/>
  <c r="D16" i="3"/>
  <c r="E6" i="4" l="1"/>
  <c r="D21" i="4"/>
  <c r="D22" i="4" s="1"/>
  <c r="C10" i="7" s="1"/>
  <c r="D6" i="6"/>
  <c r="D16" i="4"/>
  <c r="D18" i="4" s="1"/>
  <c r="D20" i="4" s="1"/>
  <c r="D17" i="3"/>
  <c r="E11" i="3"/>
  <c r="E18" i="2"/>
  <c r="T6" i="2"/>
  <c r="D7" i="6" l="1"/>
  <c r="D16" i="6" s="1"/>
  <c r="D23" i="4"/>
  <c r="D15" i="6"/>
  <c r="D17" i="6" s="1"/>
  <c r="D18" i="6" s="1"/>
  <c r="D8" i="6"/>
  <c r="U6" i="2"/>
  <c r="E20" i="2"/>
  <c r="E19" i="2"/>
  <c r="E12" i="3" l="1"/>
  <c r="E24" i="2"/>
  <c r="E21" i="2"/>
  <c r="D20" i="6"/>
  <c r="D21" i="6"/>
  <c r="V6" i="2"/>
  <c r="E14" i="6"/>
  <c r="C8" i="7"/>
  <c r="C9" i="7"/>
  <c r="D24" i="4"/>
  <c r="W6" i="2" l="1"/>
  <c r="E6" i="3"/>
  <c r="F17" i="2"/>
  <c r="E25" i="2"/>
  <c r="E13" i="3" s="1"/>
  <c r="E19" i="3" s="1"/>
  <c r="D11" i="7" s="1"/>
  <c r="E14" i="3" l="1"/>
  <c r="E26" i="2"/>
  <c r="X6" i="2"/>
  <c r="Y6" i="2" l="1"/>
  <c r="F23" i="2"/>
  <c r="E7" i="3"/>
  <c r="E8" i="3" s="1"/>
  <c r="E29" i="2"/>
  <c r="E28" i="2"/>
  <c r="F8" i="2"/>
  <c r="F9" i="2" s="1"/>
  <c r="F11" i="2" s="1"/>
  <c r="D6" i="7" l="1"/>
  <c r="E11" i="6"/>
  <c r="E12" i="6" s="1"/>
  <c r="E16" i="3"/>
  <c r="E9" i="3"/>
  <c r="D7" i="7" s="1"/>
  <c r="F13" i="2"/>
  <c r="F12" i="2"/>
  <c r="F14" i="2"/>
  <c r="D4" i="7"/>
  <c r="E14" i="4"/>
  <c r="E13" i="4"/>
  <c r="E30" i="2"/>
  <c r="D5" i="7"/>
  <c r="E18" i="3"/>
  <c r="E7" i="4"/>
  <c r="E8" i="4" s="1"/>
  <c r="Z6" i="2"/>
  <c r="F18" i="2" l="1"/>
  <c r="F11" i="3"/>
  <c r="AA6" i="2"/>
  <c r="F15" i="2"/>
  <c r="E6" i="6"/>
  <c r="E21" i="4"/>
  <c r="E22" i="4"/>
  <c r="D10" i="7" s="1"/>
  <c r="E16" i="4"/>
  <c r="E17" i="3"/>
  <c r="E18" i="4"/>
  <c r="E20" i="4" s="1"/>
  <c r="E7" i="6" l="1"/>
  <c r="E16" i="6" s="1"/>
  <c r="E23" i="4"/>
  <c r="E15" i="6"/>
  <c r="E17" i="6" s="1"/>
  <c r="E18" i="6" s="1"/>
  <c r="E8" i="6"/>
  <c r="F6" i="4"/>
  <c r="AB6" i="2"/>
  <c r="F19" i="2"/>
  <c r="F20" i="2"/>
  <c r="AC6" i="2" l="1"/>
  <c r="F21" i="2"/>
  <c r="D9" i="7"/>
  <c r="E24" i="4"/>
  <c r="E20" i="6"/>
  <c r="E21" i="6"/>
  <c r="F14" i="6"/>
  <c r="D8" i="7"/>
  <c r="F12" i="3"/>
  <c r="F24" i="2"/>
  <c r="AD6" i="2" l="1"/>
  <c r="F6" i="3"/>
  <c r="G17" i="2"/>
  <c r="F25" i="2"/>
  <c r="F13" i="3" s="1"/>
  <c r="F19" i="3" s="1"/>
  <c r="E11" i="7" s="1"/>
  <c r="F26" i="2" l="1"/>
  <c r="AE6" i="2"/>
  <c r="F14" i="3"/>
  <c r="AF6" i="2" l="1"/>
  <c r="G23" i="2"/>
  <c r="F7" i="3"/>
  <c r="F8" i="3" s="1"/>
  <c r="F28" i="2"/>
  <c r="F29" i="2"/>
  <c r="G8" i="2"/>
  <c r="G9" i="2" s="1"/>
  <c r="G11" i="2" s="1"/>
  <c r="E5" i="7" l="1"/>
  <c r="F18" i="3"/>
  <c r="F7" i="4"/>
  <c r="F8" i="4" s="1"/>
  <c r="E4" i="7"/>
  <c r="F14" i="4"/>
  <c r="F13" i="4"/>
  <c r="F30" i="2"/>
  <c r="G13" i="2"/>
  <c r="G12" i="2"/>
  <c r="G15" i="2" s="1"/>
  <c r="G14" i="2"/>
  <c r="E6" i="7"/>
  <c r="F11" i="6"/>
  <c r="F12" i="6" s="1"/>
  <c r="F16" i="3"/>
  <c r="F9" i="3"/>
  <c r="E7" i="7" s="1"/>
  <c r="AG6" i="2"/>
  <c r="G6" i="4" l="1"/>
  <c r="F18" i="4"/>
  <c r="G11" i="3"/>
  <c r="G18" i="2"/>
  <c r="AH6" i="2"/>
  <c r="F6" i="6"/>
  <c r="F21" i="4"/>
  <c r="F22" i="4" s="1"/>
  <c r="E10" i="7" s="1"/>
  <c r="F16" i="4"/>
  <c r="F17" i="3"/>
  <c r="F20" i="4"/>
  <c r="F7" i="6" s="1"/>
  <c r="F16" i="6" s="1"/>
  <c r="F15" i="6" l="1"/>
  <c r="F17" i="6" s="1"/>
  <c r="F18" i="6" s="1"/>
  <c r="F8" i="6"/>
  <c r="AI6" i="2"/>
  <c r="G20" i="2"/>
  <c r="G19" i="2"/>
  <c r="F23" i="4"/>
  <c r="G12" i="3" l="1"/>
  <c r="G24" i="2"/>
  <c r="G21" i="2"/>
  <c r="AJ6" i="2"/>
  <c r="F20" i="6"/>
  <c r="F21" i="6"/>
  <c r="E9" i="7"/>
  <c r="F24" i="4"/>
  <c r="G14" i="6"/>
  <c r="E8" i="7"/>
  <c r="G6" i="3" l="1"/>
  <c r="H17" i="2"/>
  <c r="G25" i="2"/>
  <c r="G13" i="3" s="1"/>
  <c r="G19" i="3" s="1"/>
  <c r="F11" i="7" s="1"/>
  <c r="AK6" i="2"/>
  <c r="G26" i="2" l="1"/>
  <c r="G14" i="3"/>
  <c r="AL6" i="2"/>
  <c r="H23" i="2" l="1"/>
  <c r="G7" i="3"/>
  <c r="G8" i="3" s="1"/>
  <c r="G29" i="2"/>
  <c r="G28" i="2"/>
  <c r="H8" i="2"/>
  <c r="H9" i="2" s="1"/>
  <c r="H11" i="2" s="1"/>
  <c r="F4" i="7" l="1"/>
  <c r="G14" i="4"/>
  <c r="G30" i="2"/>
  <c r="G13" i="4"/>
  <c r="F5" i="7"/>
  <c r="G7" i="4"/>
  <c r="G8" i="4" s="1"/>
  <c r="G18" i="3"/>
  <c r="H13" i="2"/>
  <c r="H14" i="2"/>
  <c r="H12" i="2"/>
  <c r="H15" i="2" s="1"/>
  <c r="F6" i="7"/>
  <c r="G11" i="6"/>
  <c r="G12" i="6" s="1"/>
  <c r="G9" i="3"/>
  <c r="F7" i="7" s="1"/>
  <c r="G16" i="3"/>
  <c r="H6" i="4" l="1"/>
  <c r="G21" i="4"/>
  <c r="G22" i="4" s="1"/>
  <c r="F10" i="7" s="1"/>
  <c r="G16" i="4"/>
  <c r="G18" i="4" s="1"/>
  <c r="G20" i="4" s="1"/>
  <c r="G6" i="6"/>
  <c r="G17" i="3"/>
  <c r="H11" i="3"/>
  <c r="H18" i="2"/>
  <c r="G7" i="6" l="1"/>
  <c r="G16" i="6" s="1"/>
  <c r="G23" i="4"/>
  <c r="G15" i="6"/>
  <c r="G17" i="6" s="1"/>
  <c r="G18" i="6" s="1"/>
  <c r="G8" i="6"/>
  <c r="H20" i="2"/>
  <c r="H19" i="2"/>
  <c r="H21" i="2" s="1"/>
  <c r="H6" i="3" l="1"/>
  <c r="I17" i="2"/>
  <c r="H12" i="3"/>
  <c r="H24" i="2"/>
  <c r="F8" i="7"/>
  <c r="H14" i="6"/>
  <c r="G20" i="6"/>
  <c r="G21" i="6"/>
  <c r="F9" i="7"/>
  <c r="G24" i="4"/>
  <c r="H25" i="2" l="1"/>
  <c r="H13" i="3" s="1"/>
  <c r="H19" i="3"/>
  <c r="G11" i="7" s="1"/>
  <c r="H14" i="3"/>
  <c r="H26" i="2" l="1"/>
  <c r="H7" i="3" l="1"/>
  <c r="H8" i="3" s="1"/>
  <c r="I23" i="2"/>
  <c r="H29" i="2"/>
  <c r="H28" i="2"/>
  <c r="I8" i="2"/>
  <c r="I9" i="2" s="1"/>
  <c r="I11" i="2" s="1"/>
  <c r="I12" i="2" l="1"/>
  <c r="I14" i="2"/>
  <c r="I13" i="2"/>
  <c r="I15" i="2"/>
  <c r="G4" i="7"/>
  <c r="H14" i="4"/>
  <c r="H30" i="2"/>
  <c r="H13" i="4"/>
  <c r="G5" i="7"/>
  <c r="H18" i="3"/>
  <c r="H7" i="4"/>
  <c r="H8" i="4" s="1"/>
  <c r="G6" i="7"/>
  <c r="H11" i="6"/>
  <c r="H12" i="6" s="1"/>
  <c r="H9" i="3"/>
  <c r="G7" i="7" s="1"/>
  <c r="H16" i="3"/>
  <c r="H21" i="4" l="1"/>
  <c r="H16" i="4"/>
  <c r="H18" i="4" s="1"/>
  <c r="H20" i="4" s="1"/>
  <c r="H6" i="6"/>
  <c r="H22" i="4"/>
  <c r="G10" i="7" s="1"/>
  <c r="H17" i="3"/>
  <c r="I6" i="4"/>
  <c r="I11" i="3"/>
  <c r="I18" i="2"/>
  <c r="H7" i="6" l="1"/>
  <c r="H16" i="6" s="1"/>
  <c r="H23" i="4"/>
  <c r="H15" i="6"/>
  <c r="H17" i="6" s="1"/>
  <c r="H18" i="6" s="1"/>
  <c r="H8" i="6"/>
  <c r="I20" i="2"/>
  <c r="I19" i="2"/>
  <c r="I12" i="3" l="1"/>
  <c r="I24" i="2"/>
  <c r="I14" i="6"/>
  <c r="G8" i="7"/>
  <c r="I21" i="2"/>
  <c r="H20" i="6"/>
  <c r="H21" i="6"/>
  <c r="G9" i="7"/>
  <c r="H24" i="4"/>
  <c r="I25" i="2" l="1"/>
  <c r="I13" i="3" s="1"/>
  <c r="I26" i="2"/>
  <c r="J17" i="2"/>
  <c r="I6" i="3"/>
  <c r="I29" i="2"/>
  <c r="I28" i="2"/>
  <c r="J8" i="2"/>
  <c r="J9" i="2" s="1"/>
  <c r="J11" i="2" s="1"/>
  <c r="I19" i="3"/>
  <c r="H11" i="7" s="1"/>
  <c r="I14" i="3"/>
  <c r="J13" i="2" l="1"/>
  <c r="J12" i="2"/>
  <c r="J14" i="2"/>
  <c r="H4" i="7"/>
  <c r="I14" i="4"/>
  <c r="I30" i="2"/>
  <c r="I13" i="4"/>
  <c r="H5" i="7"/>
  <c r="I7" i="4"/>
  <c r="I8" i="4" s="1"/>
  <c r="J23" i="2"/>
  <c r="I7" i="3"/>
  <c r="I8" i="3" s="1"/>
  <c r="H6" i="7" l="1"/>
  <c r="I11" i="6"/>
  <c r="I12" i="6" s="1"/>
  <c r="I9" i="3"/>
  <c r="H7" i="7" s="1"/>
  <c r="I16" i="3"/>
  <c r="I18" i="3"/>
  <c r="J11" i="3"/>
  <c r="J18" i="2"/>
  <c r="J15" i="2"/>
  <c r="J6" i="4" l="1"/>
  <c r="J19" i="2"/>
  <c r="J20" i="2"/>
  <c r="I16" i="4"/>
  <c r="I18" i="4" s="1"/>
  <c r="I20" i="4" s="1"/>
  <c r="I7" i="6" s="1"/>
  <c r="I16" i="6" s="1"/>
  <c r="I6" i="6"/>
  <c r="I21" i="4"/>
  <c r="I22" i="4"/>
  <c r="H10" i="7" s="1"/>
  <c r="I17" i="3"/>
  <c r="I15" i="6" l="1"/>
  <c r="I17" i="6" s="1"/>
  <c r="I18" i="6" s="1"/>
  <c r="I8" i="6"/>
  <c r="I23" i="4"/>
  <c r="J12" i="3"/>
  <c r="J24" i="2"/>
  <c r="J21" i="2"/>
  <c r="K17" i="2" l="1"/>
  <c r="J6" i="3"/>
  <c r="J25" i="2"/>
  <c r="J13" i="3" s="1"/>
  <c r="I20" i="6"/>
  <c r="I21" i="6"/>
  <c r="J19" i="3"/>
  <c r="I11" i="7" s="1"/>
  <c r="J14" i="3"/>
  <c r="H9" i="7"/>
  <c r="I24" i="4"/>
  <c r="J14" i="6"/>
  <c r="H8" i="7"/>
  <c r="J26" i="2" l="1"/>
  <c r="K23" i="2" l="1"/>
  <c r="J7" i="3"/>
  <c r="J8" i="3" s="1"/>
  <c r="J29" i="2"/>
  <c r="K8" i="2"/>
  <c r="K9" i="2" s="1"/>
  <c r="K11" i="2" s="1"/>
  <c r="J28" i="2"/>
  <c r="I4" i="7" l="1"/>
  <c r="J30" i="2"/>
  <c r="J14" i="4"/>
  <c r="J13" i="4"/>
  <c r="K14" i="2"/>
  <c r="K13" i="2"/>
  <c r="K12" i="2"/>
  <c r="I5" i="7"/>
  <c r="J18" i="3"/>
  <c r="J7" i="4"/>
  <c r="J8" i="4" s="1"/>
  <c r="I6" i="7"/>
  <c r="J11" i="6"/>
  <c r="J12" i="6" s="1"/>
  <c r="J9" i="3"/>
  <c r="I7" i="7" s="1"/>
  <c r="J16" i="3"/>
  <c r="K18" i="2" l="1"/>
  <c r="K11" i="3"/>
  <c r="J6" i="6"/>
  <c r="J21" i="4"/>
  <c r="J16" i="4"/>
  <c r="J18" i="4" s="1"/>
  <c r="J20" i="4" s="1"/>
  <c r="J22" i="4"/>
  <c r="I10" i="7" s="1"/>
  <c r="J17" i="3"/>
  <c r="K15" i="2"/>
  <c r="J7" i="6" l="1"/>
  <c r="J16" i="6" s="1"/>
  <c r="J23" i="4"/>
  <c r="J15" i="6"/>
  <c r="J17" i="6" s="1"/>
  <c r="J18" i="6" s="1"/>
  <c r="J8" i="6"/>
  <c r="K6" i="4"/>
  <c r="K19" i="2"/>
  <c r="K21" i="2" s="1"/>
  <c r="K20" i="2"/>
  <c r="K6" i="3" l="1"/>
  <c r="L17" i="2"/>
  <c r="J20" i="6"/>
  <c r="J21" i="6"/>
  <c r="I9" i="7"/>
  <c r="J24" i="4"/>
  <c r="K12" i="3"/>
  <c r="K24" i="2"/>
  <c r="K14" i="6"/>
  <c r="I8" i="7"/>
  <c r="K25" i="2" l="1"/>
  <c r="K13" i="3" s="1"/>
  <c r="K26" i="2"/>
  <c r="K19" i="3"/>
  <c r="J11" i="7" s="1"/>
  <c r="K14" i="3"/>
  <c r="K7" i="3" l="1"/>
  <c r="K8" i="3" s="1"/>
  <c r="L23" i="2"/>
  <c r="K29" i="2"/>
  <c r="L8" i="2"/>
  <c r="L9" i="2" s="1"/>
  <c r="L11" i="2" s="1"/>
  <c r="K28" i="2"/>
  <c r="J4" i="7" l="1"/>
  <c r="K14" i="4"/>
  <c r="K30" i="2"/>
  <c r="K13" i="4"/>
  <c r="L12" i="2"/>
  <c r="L14" i="2"/>
  <c r="L13" i="2"/>
  <c r="L15" i="2"/>
  <c r="J5" i="7"/>
  <c r="K18" i="3"/>
  <c r="K7" i="4"/>
  <c r="K8" i="4" s="1"/>
  <c r="J6" i="7"/>
  <c r="K11" i="6"/>
  <c r="K12" i="6" s="1"/>
  <c r="K16" i="3"/>
  <c r="K9" i="3"/>
  <c r="J7" i="7" s="1"/>
  <c r="K21" i="4" l="1"/>
  <c r="K22" i="4" s="1"/>
  <c r="J10" i="7" s="1"/>
  <c r="K6" i="6"/>
  <c r="K16" i="4"/>
  <c r="K18" i="4" s="1"/>
  <c r="K20" i="4" s="1"/>
  <c r="K17" i="3"/>
  <c r="L6" i="4"/>
  <c r="L11" i="3"/>
  <c r="L18" i="2"/>
  <c r="K7" i="6" l="1"/>
  <c r="K16" i="6" s="1"/>
  <c r="K23" i="4"/>
  <c r="K15" i="6"/>
  <c r="K17" i="6" s="1"/>
  <c r="K18" i="6" s="1"/>
  <c r="K8" i="6"/>
  <c r="L19" i="2"/>
  <c r="L20" i="2"/>
  <c r="L12" i="3" l="1"/>
  <c r="L24" i="2"/>
  <c r="K20" i="6"/>
  <c r="K21" i="6"/>
  <c r="L21" i="2"/>
  <c r="L14" i="6"/>
  <c r="J8" i="7"/>
  <c r="J9" i="7"/>
  <c r="K24" i="4"/>
  <c r="L6" i="3" l="1"/>
  <c r="M17" i="2"/>
  <c r="L25" i="2"/>
  <c r="L13" i="3" s="1"/>
  <c r="L19" i="3" s="1"/>
  <c r="K11" i="7" s="1"/>
  <c r="L26" i="2"/>
  <c r="L7" i="3" l="1"/>
  <c r="M23" i="2"/>
  <c r="L14" i="3"/>
  <c r="L28" i="2"/>
  <c r="M8" i="2"/>
  <c r="M9" i="2" s="1"/>
  <c r="M11" i="2" s="1"/>
  <c r="L29" i="2"/>
  <c r="L8" i="3"/>
  <c r="K6" i="7" l="1"/>
  <c r="L11" i="6"/>
  <c r="L12" i="6" s="1"/>
  <c r="L16" i="3"/>
  <c r="L9" i="3"/>
  <c r="K7" i="7" s="1"/>
  <c r="K5" i="7"/>
  <c r="L18" i="3"/>
  <c r="L7" i="4"/>
  <c r="L8" i="4" s="1"/>
  <c r="M14" i="2"/>
  <c r="M13" i="2"/>
  <c r="M12" i="2"/>
  <c r="M15" i="2" s="1"/>
  <c r="K4" i="7"/>
  <c r="L14" i="4"/>
  <c r="L13" i="4"/>
  <c r="L30" i="2"/>
  <c r="M6" i="4" l="1"/>
  <c r="M11" i="3"/>
  <c r="M18" i="2"/>
  <c r="L16" i="4"/>
  <c r="L18" i="4" s="1"/>
  <c r="L20" i="4" s="1"/>
  <c r="L6" i="6"/>
  <c r="L21" i="4"/>
  <c r="L22" i="4" s="1"/>
  <c r="K10" i="7" s="1"/>
  <c r="L17" i="3"/>
  <c r="L7" i="6" l="1"/>
  <c r="L16" i="6" s="1"/>
  <c r="L23" i="4"/>
  <c r="L15" i="6"/>
  <c r="L17" i="6" s="1"/>
  <c r="L18" i="6" s="1"/>
  <c r="L8" i="6"/>
  <c r="M20" i="2"/>
  <c r="M19" i="2"/>
  <c r="L20" i="6" l="1"/>
  <c r="L21" i="6"/>
  <c r="M12" i="3"/>
  <c r="M24" i="2"/>
  <c r="M21" i="2"/>
  <c r="M14" i="6"/>
  <c r="K8" i="7"/>
  <c r="K9" i="7"/>
  <c r="L24" i="4"/>
  <c r="M6" i="3" l="1"/>
  <c r="N17" i="2"/>
  <c r="M25" i="2"/>
  <c r="M13" i="3" s="1"/>
  <c r="M19" i="3" s="1"/>
  <c r="L11" i="7" s="1"/>
  <c r="M14" i="3"/>
  <c r="M26" i="2" l="1"/>
  <c r="M7" i="3" l="1"/>
  <c r="M8" i="3" s="1"/>
  <c r="N23" i="2"/>
  <c r="M29" i="2"/>
  <c r="N8" i="2"/>
  <c r="N9" i="2" s="1"/>
  <c r="N11" i="2" s="1"/>
  <c r="M28" i="2"/>
  <c r="L4" i="7" l="1"/>
  <c r="M14" i="4"/>
  <c r="M13" i="4"/>
  <c r="M30" i="2"/>
  <c r="N14" i="2"/>
  <c r="N12" i="2"/>
  <c r="N13" i="2"/>
  <c r="N15" i="2"/>
  <c r="L5" i="7"/>
  <c r="M18" i="3"/>
  <c r="M7" i="4"/>
  <c r="M8" i="4" s="1"/>
  <c r="L6" i="7"/>
  <c r="M11" i="6"/>
  <c r="M12" i="6" s="1"/>
  <c r="M16" i="3"/>
  <c r="M9" i="3"/>
  <c r="L7" i="7" s="1"/>
  <c r="N11" i="3" l="1"/>
  <c r="N18" i="2"/>
  <c r="M16" i="4"/>
  <c r="M18" i="4" s="1"/>
  <c r="M20" i="4" s="1"/>
  <c r="M6" i="6"/>
  <c r="M21" i="4"/>
  <c r="M22" i="4"/>
  <c r="L10" i="7" s="1"/>
  <c r="M17" i="3"/>
  <c r="N6" i="4"/>
  <c r="M7" i="6" l="1"/>
  <c r="M16" i="6" s="1"/>
  <c r="M23" i="4"/>
  <c r="M15" i="6"/>
  <c r="M17" i="6" s="1"/>
  <c r="M18" i="6" s="1"/>
  <c r="M8" i="6"/>
  <c r="N19" i="2"/>
  <c r="N20" i="2"/>
  <c r="N12" i="3" l="1"/>
  <c r="N24" i="2"/>
  <c r="L9" i="7"/>
  <c r="M24" i="4"/>
  <c r="N21" i="2"/>
  <c r="M20" i="6"/>
  <c r="M21" i="6"/>
  <c r="N14" i="6"/>
  <c r="L8" i="7"/>
  <c r="N6" i="3" l="1"/>
  <c r="O17" i="2"/>
  <c r="N25" i="2"/>
  <c r="N13" i="3" s="1"/>
  <c r="N19" i="3" s="1"/>
  <c r="M11" i="7" l="1"/>
  <c r="B36" i="5"/>
  <c r="N26" i="2"/>
  <c r="N14" i="3"/>
  <c r="N7" i="3" l="1"/>
  <c r="N8" i="3" s="1"/>
  <c r="O23" i="2"/>
  <c r="N29" i="2"/>
  <c r="O8" i="2"/>
  <c r="O9" i="2" s="1"/>
  <c r="O11" i="2" s="1"/>
  <c r="N28" i="2"/>
  <c r="M4" i="7" l="1"/>
  <c r="N14" i="4"/>
  <c r="N13" i="4"/>
  <c r="B29" i="5"/>
  <c r="N30" i="2"/>
  <c r="B31" i="5" s="1"/>
  <c r="B30" i="5"/>
  <c r="M5" i="7"/>
  <c r="N7" i="4"/>
  <c r="N8" i="4" s="1"/>
  <c r="N18" i="3"/>
  <c r="O14" i="2"/>
  <c r="O12" i="2"/>
  <c r="O13" i="2"/>
  <c r="M6" i="7"/>
  <c r="N11" i="6"/>
  <c r="N12" i="6" s="1"/>
  <c r="B32" i="5"/>
  <c r="N16" i="3"/>
  <c r="N9" i="3"/>
  <c r="O11" i="3" l="1"/>
  <c r="O18" i="2"/>
  <c r="M7" i="7"/>
  <c r="B33" i="5"/>
  <c r="N6" i="6"/>
  <c r="N16" i="4"/>
  <c r="N18" i="4" s="1"/>
  <c r="N20" i="4" s="1"/>
  <c r="N21" i="4"/>
  <c r="N22" i="4" s="1"/>
  <c r="B41" i="8"/>
  <c r="N17" i="3"/>
  <c r="O15" i="2"/>
  <c r="B34" i="5" l="1"/>
  <c r="B23" i="8"/>
  <c r="B6" i="8"/>
  <c r="M10" i="7"/>
  <c r="N7" i="6"/>
  <c r="N16" i="6" s="1"/>
  <c r="N23" i="4"/>
  <c r="N15" i="6"/>
  <c r="N17" i="6" s="1"/>
  <c r="N18" i="6" s="1"/>
  <c r="N8" i="6"/>
  <c r="O6" i="4"/>
  <c r="O19" i="2"/>
  <c r="O20" i="2"/>
  <c r="M8" i="7" l="1"/>
  <c r="O14" i="6"/>
  <c r="O12" i="3"/>
  <c r="O24" i="2"/>
  <c r="N20" i="6"/>
  <c r="N21" i="6"/>
  <c r="M9" i="7"/>
  <c r="N24" i="4"/>
  <c r="B35" i="5" s="1"/>
  <c r="O21" i="2"/>
  <c r="P17" i="2" l="1"/>
  <c r="O6" i="3"/>
  <c r="O25" i="2"/>
  <c r="O13" i="3" s="1"/>
  <c r="O14" i="3" s="1"/>
  <c r="O19" i="3" l="1"/>
  <c r="N11" i="7" s="1"/>
  <c r="O26" i="2"/>
  <c r="O7" i="3" l="1"/>
  <c r="O8" i="3" s="1"/>
  <c r="P23" i="2"/>
  <c r="P8" i="2"/>
  <c r="P9" i="2" s="1"/>
  <c r="P11" i="2" s="1"/>
  <c r="O29" i="2"/>
  <c r="O28" i="2"/>
  <c r="P14" i="2" l="1"/>
  <c r="P12" i="2"/>
  <c r="P13" i="2"/>
  <c r="N4" i="7"/>
  <c r="O14" i="4"/>
  <c r="O13" i="4"/>
  <c r="O30" i="2"/>
  <c r="N5" i="7"/>
  <c r="O7" i="4"/>
  <c r="O8" i="4" s="1"/>
  <c r="O18" i="3"/>
  <c r="N6" i="7"/>
  <c r="O11" i="6"/>
  <c r="O12" i="6" s="1"/>
  <c r="O9" i="3"/>
  <c r="N7" i="7" s="1"/>
  <c r="O16" i="3"/>
  <c r="O6" i="6" l="1"/>
  <c r="O21" i="4"/>
  <c r="O16" i="4"/>
  <c r="O18" i="4" s="1"/>
  <c r="O20" i="4" s="1"/>
  <c r="O22" i="4"/>
  <c r="N10" i="7" s="1"/>
  <c r="O17" i="3"/>
  <c r="P15" i="2"/>
  <c r="P11" i="3"/>
  <c r="P18" i="2"/>
  <c r="O7" i="6" l="1"/>
  <c r="O16" i="6" s="1"/>
  <c r="O23" i="4"/>
  <c r="P6" i="4"/>
  <c r="O15" i="6"/>
  <c r="O17" i="6" s="1"/>
  <c r="O18" i="6" s="1"/>
  <c r="O8" i="6"/>
  <c r="P20" i="2"/>
  <c r="P19" i="2"/>
  <c r="P14" i="6" l="1"/>
  <c r="N8" i="7"/>
  <c r="P12" i="3"/>
  <c r="P24" i="2"/>
  <c r="O20" i="6"/>
  <c r="O21" i="6"/>
  <c r="N9" i="7"/>
  <c r="O24" i="4"/>
  <c r="P21" i="2"/>
  <c r="P6" i="3" l="1"/>
  <c r="Q17" i="2"/>
  <c r="P25" i="2"/>
  <c r="P13" i="3" s="1"/>
  <c r="P14" i="3" s="1"/>
  <c r="P19" i="3" l="1"/>
  <c r="O11" i="7" s="1"/>
  <c r="P26" i="2"/>
  <c r="P7" i="3" l="1"/>
  <c r="P8" i="3" s="1"/>
  <c r="Q23" i="2"/>
  <c r="Q8" i="2"/>
  <c r="Q9" i="2" s="1"/>
  <c r="Q11" i="2" s="1"/>
  <c r="P29" i="2"/>
  <c r="P28" i="2"/>
  <c r="O4" i="7" l="1"/>
  <c r="P13" i="4"/>
  <c r="P14" i="4"/>
  <c r="P30" i="2"/>
  <c r="O5" i="7"/>
  <c r="P7" i="4"/>
  <c r="P8" i="4" s="1"/>
  <c r="P18" i="3"/>
  <c r="Q14" i="2"/>
  <c r="Q12" i="2"/>
  <c r="Q13" i="2"/>
  <c r="O6" i="7"/>
  <c r="P11" i="6"/>
  <c r="P12" i="6" s="1"/>
  <c r="P9" i="3"/>
  <c r="O7" i="7" s="1"/>
  <c r="P16" i="3"/>
  <c r="P21" i="4" l="1"/>
  <c r="P22" i="4" s="1"/>
  <c r="O10" i="7" s="1"/>
  <c r="P6" i="6"/>
  <c r="P16" i="4"/>
  <c r="P18" i="4" s="1"/>
  <c r="P20" i="4" s="1"/>
  <c r="P17" i="3"/>
  <c r="Q11" i="3"/>
  <c r="Q18" i="2"/>
  <c r="Q15" i="2"/>
  <c r="P7" i="6" l="1"/>
  <c r="P16" i="6" s="1"/>
  <c r="P23" i="4"/>
  <c r="Q6" i="4"/>
  <c r="P15" i="6"/>
  <c r="P17" i="6" s="1"/>
  <c r="P18" i="6" s="1"/>
  <c r="P8" i="6"/>
  <c r="Q19" i="2"/>
  <c r="Q20" i="2"/>
  <c r="Q14" i="6" l="1"/>
  <c r="O8" i="7"/>
  <c r="Q12" i="3"/>
  <c r="Q24" i="2"/>
  <c r="Q21" i="2"/>
  <c r="P20" i="6"/>
  <c r="P21" i="6"/>
  <c r="O9" i="7"/>
  <c r="P24" i="4"/>
  <c r="Q25" i="2" l="1"/>
  <c r="Q13" i="3" s="1"/>
  <c r="Q6" i="3"/>
  <c r="R17" i="2"/>
  <c r="Q19" i="3"/>
  <c r="P11" i="7" s="1"/>
  <c r="Q14" i="3"/>
  <c r="Q26" i="2" l="1"/>
  <c r="Q7" i="3" l="1"/>
  <c r="Q8" i="3" s="1"/>
  <c r="R23" i="2"/>
  <c r="R8" i="2"/>
  <c r="R9" i="2" s="1"/>
  <c r="R11" i="2" s="1"/>
  <c r="Q29" i="2"/>
  <c r="Q28" i="2"/>
  <c r="P4" i="7" l="1"/>
  <c r="Q13" i="4"/>
  <c r="Q14" i="4"/>
  <c r="Q30" i="2"/>
  <c r="P5" i="7"/>
  <c r="Q7" i="4"/>
  <c r="Q8" i="4" s="1"/>
  <c r="Q18" i="3"/>
  <c r="R14" i="2"/>
  <c r="R12" i="2"/>
  <c r="R15" i="2" s="1"/>
  <c r="R13" i="2"/>
  <c r="P6" i="7"/>
  <c r="Q11" i="6"/>
  <c r="Q12" i="6" s="1"/>
  <c r="Q9" i="3"/>
  <c r="P7" i="7" s="1"/>
  <c r="Q16" i="3"/>
  <c r="R6" i="4" l="1"/>
  <c r="Q21" i="4"/>
  <c r="Q22" i="4" s="1"/>
  <c r="P10" i="7" s="1"/>
  <c r="Q6" i="6"/>
  <c r="Q16" i="4"/>
  <c r="Q18" i="4" s="1"/>
  <c r="Q20" i="4" s="1"/>
  <c r="Q17" i="3"/>
  <c r="R11" i="3"/>
  <c r="R18" i="2"/>
  <c r="Q7" i="6" l="1"/>
  <c r="Q16" i="6" s="1"/>
  <c r="Q23" i="4"/>
  <c r="R19" i="2"/>
  <c r="R20" i="2"/>
  <c r="R21" i="2"/>
  <c r="Q15" i="6"/>
  <c r="Q17" i="6" s="1"/>
  <c r="Q18" i="6" s="1"/>
  <c r="Q8" i="6"/>
  <c r="Q20" i="6" l="1"/>
  <c r="Q21" i="6"/>
  <c r="P9" i="7"/>
  <c r="Q24" i="4"/>
  <c r="R14" i="6"/>
  <c r="P8" i="7"/>
  <c r="S17" i="2"/>
  <c r="R6" i="3"/>
  <c r="R12" i="3"/>
  <c r="R24" i="2"/>
  <c r="R25" i="2" l="1"/>
  <c r="R13" i="3" s="1"/>
  <c r="R19" i="3"/>
  <c r="Q11" i="7" s="1"/>
  <c r="R14" i="3"/>
  <c r="R26" i="2" l="1"/>
  <c r="R7" i="3" l="1"/>
  <c r="R8" i="3" s="1"/>
  <c r="S23" i="2"/>
  <c r="R29" i="2"/>
  <c r="S8" i="2"/>
  <c r="S9" i="2" s="1"/>
  <c r="S11" i="2" s="1"/>
  <c r="R28" i="2"/>
  <c r="Q4" i="7" l="1"/>
  <c r="R13" i="4"/>
  <c r="R14" i="4"/>
  <c r="R30" i="2"/>
  <c r="S12" i="2"/>
  <c r="S13" i="2"/>
  <c r="S14" i="2"/>
  <c r="S15" i="2" s="1"/>
  <c r="Q5" i="7"/>
  <c r="R7" i="4"/>
  <c r="R8" i="4" s="1"/>
  <c r="R18" i="3"/>
  <c r="Q6" i="7"/>
  <c r="R11" i="6"/>
  <c r="R12" i="6" s="1"/>
  <c r="R9" i="3"/>
  <c r="Q7" i="7" s="1"/>
  <c r="R16" i="3"/>
  <c r="S6" i="4" l="1"/>
  <c r="S11" i="3"/>
  <c r="S18" i="2"/>
  <c r="R6" i="6"/>
  <c r="R16" i="4"/>
  <c r="R18" i="4" s="1"/>
  <c r="R20" i="4" s="1"/>
  <c r="R21" i="4"/>
  <c r="R22" i="4" s="1"/>
  <c r="Q10" i="7" s="1"/>
  <c r="R17" i="3"/>
  <c r="R7" i="6" l="1"/>
  <c r="R16" i="6" s="1"/>
  <c r="R23" i="4"/>
  <c r="R15" i="6"/>
  <c r="R17" i="6" s="1"/>
  <c r="R18" i="6" s="1"/>
  <c r="R8" i="6"/>
  <c r="S20" i="2"/>
  <c r="S19" i="2"/>
  <c r="S21" i="2"/>
  <c r="S6" i="3" l="1"/>
  <c r="T17" i="2"/>
  <c r="S12" i="3"/>
  <c r="S24" i="2"/>
  <c r="S14" i="6"/>
  <c r="Q8" i="7"/>
  <c r="Q9" i="7"/>
  <c r="R24" i="4"/>
  <c r="R20" i="6"/>
  <c r="R21" i="6"/>
  <c r="S25" i="2" l="1"/>
  <c r="S13" i="3" s="1"/>
  <c r="S26" i="2"/>
  <c r="S19" i="3"/>
  <c r="R11" i="7" s="1"/>
  <c r="S14" i="3"/>
  <c r="T23" i="2" l="1"/>
  <c r="S7" i="3"/>
  <c r="S8" i="3" s="1"/>
  <c r="S28" i="2"/>
  <c r="T8" i="2"/>
  <c r="T9" i="2" s="1"/>
  <c r="T11" i="2" s="1"/>
  <c r="S29" i="2"/>
  <c r="R5" i="7" l="1"/>
  <c r="S7" i="4"/>
  <c r="S8" i="4" s="1"/>
  <c r="S18" i="3"/>
  <c r="R4" i="7"/>
  <c r="S30" i="2"/>
  <c r="S13" i="4"/>
  <c r="S14" i="4"/>
  <c r="T13" i="2"/>
  <c r="T14" i="2"/>
  <c r="T12" i="2"/>
  <c r="R6" i="7"/>
  <c r="S11" i="6"/>
  <c r="S12" i="6" s="1"/>
  <c r="S16" i="3"/>
  <c r="S9" i="3"/>
  <c r="R7" i="7" s="1"/>
  <c r="T11" i="3" l="1"/>
  <c r="T18" i="2"/>
  <c r="T15" i="2"/>
  <c r="S21" i="4"/>
  <c r="S22" i="4" s="1"/>
  <c r="R10" i="7" s="1"/>
  <c r="S6" i="6"/>
  <c r="S16" i="4"/>
  <c r="S18" i="4" s="1"/>
  <c r="S20" i="4" s="1"/>
  <c r="S17" i="3"/>
  <c r="S7" i="6" l="1"/>
  <c r="S16" i="6" s="1"/>
  <c r="S23" i="4"/>
  <c r="S15" i="6"/>
  <c r="S17" i="6" s="1"/>
  <c r="S18" i="6" s="1"/>
  <c r="S8" i="6"/>
  <c r="T6" i="4"/>
  <c r="T20" i="2"/>
  <c r="T19" i="2"/>
  <c r="T12" i="3" l="1"/>
  <c r="T24" i="2"/>
  <c r="T21" i="2"/>
  <c r="S20" i="6"/>
  <c r="S21" i="6"/>
  <c r="R9" i="7"/>
  <c r="S24" i="4"/>
  <c r="R8" i="7"/>
  <c r="T14" i="6"/>
  <c r="U17" i="2" l="1"/>
  <c r="T6" i="3"/>
  <c r="T25" i="2"/>
  <c r="T13" i="3" s="1"/>
  <c r="T26" i="2"/>
  <c r="T19" i="3"/>
  <c r="S11" i="7" s="1"/>
  <c r="T14" i="3"/>
  <c r="U23" i="2" l="1"/>
  <c r="T7" i="3"/>
  <c r="U8" i="2"/>
  <c r="U9" i="2" s="1"/>
  <c r="U11" i="2" s="1"/>
  <c r="T28" i="2"/>
  <c r="T8" i="3"/>
  <c r="T29" i="2"/>
  <c r="S5" i="7" l="1"/>
  <c r="T18" i="3"/>
  <c r="T7" i="4"/>
  <c r="T8" i="4" s="1"/>
  <c r="S6" i="7"/>
  <c r="T11" i="6"/>
  <c r="T12" i="6" s="1"/>
  <c r="T16" i="3"/>
  <c r="T9" i="3"/>
  <c r="S4" i="7"/>
  <c r="T30" i="2"/>
  <c r="T14" i="4"/>
  <c r="T13" i="4"/>
  <c r="U13" i="2"/>
  <c r="U12" i="2"/>
  <c r="U14" i="2"/>
  <c r="B33" i="8" l="1"/>
  <c r="S7" i="7"/>
  <c r="T6" i="6"/>
  <c r="T16" i="4"/>
  <c r="T18" i="4" s="1"/>
  <c r="T20" i="4" s="1"/>
  <c r="T21" i="4"/>
  <c r="T22" i="4" s="1"/>
  <c r="T17" i="3"/>
  <c r="U11" i="3"/>
  <c r="U18" i="2"/>
  <c r="U15" i="2"/>
  <c r="B7" i="8" l="1"/>
  <c r="S10" i="7"/>
  <c r="T7" i="6"/>
  <c r="T16" i="6" s="1"/>
  <c r="T23" i="4"/>
  <c r="T15" i="6"/>
  <c r="T8" i="6"/>
  <c r="U6" i="4"/>
  <c r="U20" i="2"/>
  <c r="U19" i="2"/>
  <c r="U21" i="2"/>
  <c r="T20" i="6" l="1"/>
  <c r="T21" i="6"/>
  <c r="T17" i="6"/>
  <c r="T18" i="6" s="1"/>
  <c r="B34" i="8"/>
  <c r="S9" i="7"/>
  <c r="T24" i="4"/>
  <c r="V17" i="2"/>
  <c r="U6" i="3"/>
  <c r="U12" i="3"/>
  <c r="U24" i="2"/>
  <c r="U25" i="2" l="1"/>
  <c r="U13" i="3" s="1"/>
  <c r="U14" i="3" s="1"/>
  <c r="U19" i="3"/>
  <c r="T11" i="7" s="1"/>
  <c r="U14" i="6"/>
  <c r="S8" i="7"/>
  <c r="U26" i="2" l="1"/>
  <c r="V23" i="2" l="1"/>
  <c r="U7" i="3"/>
  <c r="U8" i="3" s="1"/>
  <c r="U28" i="2"/>
  <c r="V8" i="2"/>
  <c r="V9" i="2" s="1"/>
  <c r="V11" i="2" s="1"/>
  <c r="U29" i="2"/>
  <c r="T5" i="7" l="1"/>
  <c r="U18" i="3"/>
  <c r="U7" i="4"/>
  <c r="U8" i="4" s="1"/>
  <c r="T4" i="7"/>
  <c r="U30" i="2"/>
  <c r="U14" i="4"/>
  <c r="U13" i="4"/>
  <c r="V14" i="2"/>
  <c r="V13" i="2"/>
  <c r="V12" i="2"/>
  <c r="T6" i="7"/>
  <c r="U11" i="6"/>
  <c r="U12" i="6" s="1"/>
  <c r="U9" i="3"/>
  <c r="T7" i="7" s="1"/>
  <c r="U16" i="3"/>
  <c r="V11" i="3" l="1"/>
  <c r="V18" i="2"/>
  <c r="V15" i="2"/>
  <c r="U6" i="6"/>
  <c r="U21" i="4"/>
  <c r="U22" i="4"/>
  <c r="T10" i="7" s="1"/>
  <c r="U16" i="4"/>
  <c r="U17" i="3"/>
  <c r="U18" i="4"/>
  <c r="U20" i="4" s="1"/>
  <c r="U7" i="6" l="1"/>
  <c r="U16" i="6" s="1"/>
  <c r="U23" i="4"/>
  <c r="V6" i="4"/>
  <c r="V20" i="2"/>
  <c r="V19" i="2"/>
  <c r="U15" i="6"/>
  <c r="U17" i="6" s="1"/>
  <c r="U18" i="6" s="1"/>
  <c r="U8" i="6"/>
  <c r="V14" i="6" l="1"/>
  <c r="T8" i="7"/>
  <c r="V12" i="3"/>
  <c r="V24" i="2"/>
  <c r="U20" i="6"/>
  <c r="U21" i="6"/>
  <c r="V21" i="2"/>
  <c r="T9" i="7"/>
  <c r="U24" i="4"/>
  <c r="W17" i="2" l="1"/>
  <c r="V6" i="3"/>
  <c r="V25" i="2"/>
  <c r="V13" i="3" s="1"/>
  <c r="V26" i="2"/>
  <c r="V19" i="3"/>
  <c r="U11" i="7" s="1"/>
  <c r="V14" i="3"/>
  <c r="W23" i="2" l="1"/>
  <c r="V7" i="3"/>
  <c r="W8" i="2"/>
  <c r="W9" i="2" s="1"/>
  <c r="W11" i="2" s="1"/>
  <c r="V28" i="2"/>
  <c r="V8" i="3"/>
  <c r="V29" i="2"/>
  <c r="U5" i="7" l="1"/>
  <c r="V18" i="3"/>
  <c r="V7" i="4"/>
  <c r="V8" i="4" s="1"/>
  <c r="U6" i="7"/>
  <c r="V11" i="6"/>
  <c r="V12" i="6" s="1"/>
  <c r="V16" i="3"/>
  <c r="V9" i="3"/>
  <c r="U7" i="7" s="1"/>
  <c r="U4" i="7"/>
  <c r="V30" i="2"/>
  <c r="V14" i="4"/>
  <c r="V13" i="4"/>
  <c r="W14" i="2"/>
  <c r="W13" i="2"/>
  <c r="W12" i="2"/>
  <c r="V21" i="4" l="1"/>
  <c r="V22" i="4"/>
  <c r="U10" i="7" s="1"/>
  <c r="V16" i="4"/>
  <c r="V18" i="4" s="1"/>
  <c r="V20" i="4" s="1"/>
  <c r="V6" i="6"/>
  <c r="V17" i="3"/>
  <c r="W11" i="3"/>
  <c r="W18" i="2"/>
  <c r="W15" i="2"/>
  <c r="V7" i="6" l="1"/>
  <c r="V16" i="6" s="1"/>
  <c r="V23" i="4"/>
  <c r="W20" i="2"/>
  <c r="W19" i="2"/>
  <c r="V15" i="6"/>
  <c r="V17" i="6" s="1"/>
  <c r="V18" i="6" s="1"/>
  <c r="V8" i="6"/>
  <c r="W6" i="4"/>
  <c r="V20" i="6" l="1"/>
  <c r="V21" i="6"/>
  <c r="W14" i="6"/>
  <c r="U8" i="7"/>
  <c r="W12" i="3"/>
  <c r="W24" i="2"/>
  <c r="U9" i="7"/>
  <c r="V24" i="4"/>
  <c r="W21" i="2"/>
  <c r="W6" i="3" l="1"/>
  <c r="X17" i="2"/>
  <c r="W25" i="2"/>
  <c r="W13" i="3" s="1"/>
  <c r="W19" i="3" s="1"/>
  <c r="V11" i="7" s="1"/>
  <c r="W14" i="3" l="1"/>
  <c r="W26" i="2"/>
  <c r="W7" i="3" l="1"/>
  <c r="W8" i="3" s="1"/>
  <c r="X23" i="2"/>
  <c r="W29" i="2"/>
  <c r="X8" i="2"/>
  <c r="X9" i="2" s="1"/>
  <c r="X11" i="2" s="1"/>
  <c r="W28" i="2"/>
  <c r="V4" i="7" l="1"/>
  <c r="W30" i="2"/>
  <c r="W13" i="4"/>
  <c r="W14" i="4"/>
  <c r="V5" i="7"/>
  <c r="W18" i="3"/>
  <c r="W7" i="4"/>
  <c r="W8" i="4" s="1"/>
  <c r="X13" i="2"/>
  <c r="X12" i="2"/>
  <c r="X14" i="2"/>
  <c r="V6" i="7"/>
  <c r="W11" i="6"/>
  <c r="W12" i="6" s="1"/>
  <c r="W16" i="3"/>
  <c r="W9" i="3"/>
  <c r="V7" i="7" s="1"/>
  <c r="X11" i="3" l="1"/>
  <c r="X18" i="2"/>
  <c r="X15" i="2"/>
  <c r="W21" i="4"/>
  <c r="W22" i="4" s="1"/>
  <c r="V10" i="7" s="1"/>
  <c r="W6" i="6"/>
  <c r="W16" i="4"/>
  <c r="W18" i="4" s="1"/>
  <c r="W20" i="4" s="1"/>
  <c r="W17" i="3"/>
  <c r="W7" i="6" l="1"/>
  <c r="W16" i="6" s="1"/>
  <c r="W23" i="4"/>
  <c r="W15" i="6"/>
  <c r="W17" i="6" s="1"/>
  <c r="W18" i="6" s="1"/>
  <c r="W8" i="6"/>
  <c r="X6" i="4"/>
  <c r="X19" i="2"/>
  <c r="X21" i="2" s="1"/>
  <c r="X20" i="2"/>
  <c r="X6" i="3" l="1"/>
  <c r="Y17" i="2"/>
  <c r="W20" i="6"/>
  <c r="W21" i="6"/>
  <c r="X12" i="3"/>
  <c r="X24" i="2"/>
  <c r="X14" i="6"/>
  <c r="V8" i="7"/>
  <c r="V9" i="7"/>
  <c r="W24" i="4"/>
  <c r="X25" i="2" l="1"/>
  <c r="X13" i="3" s="1"/>
  <c r="X19" i="3" s="1"/>
  <c r="W11" i="7" s="1"/>
  <c r="X14" i="3" l="1"/>
  <c r="X26" i="2"/>
  <c r="X7" i="3" l="1"/>
  <c r="X8" i="3" s="1"/>
  <c r="Y23" i="2"/>
  <c r="X29" i="2"/>
  <c r="X28" i="2"/>
  <c r="Y8" i="2"/>
  <c r="Y9" i="2" s="1"/>
  <c r="Y11" i="2" s="1"/>
  <c r="W4" i="7" l="1"/>
  <c r="X14" i="4"/>
  <c r="X13" i="4"/>
  <c r="X30" i="2"/>
  <c r="Y12" i="2"/>
  <c r="Y14" i="2"/>
  <c r="Y13" i="2"/>
  <c r="W5" i="7"/>
  <c r="X18" i="3"/>
  <c r="X7" i="4"/>
  <c r="X8" i="4" s="1"/>
  <c r="W6" i="7"/>
  <c r="X11" i="6"/>
  <c r="X12" i="6" s="1"/>
  <c r="X16" i="3"/>
  <c r="X9" i="3"/>
  <c r="W7" i="7" s="1"/>
  <c r="Y15" i="2" l="1"/>
  <c r="X21" i="4"/>
  <c r="X16" i="4"/>
  <c r="X18" i="4" s="1"/>
  <c r="X20" i="4" s="1"/>
  <c r="X22" i="4"/>
  <c r="W10" i="7" s="1"/>
  <c r="X6" i="6"/>
  <c r="X17" i="3"/>
  <c r="Y11" i="3"/>
  <c r="Y18" i="2"/>
  <c r="X7" i="6" l="1"/>
  <c r="X16" i="6" s="1"/>
  <c r="X23" i="4"/>
  <c r="Y19" i="2"/>
  <c r="Y20" i="2"/>
  <c r="X15" i="6"/>
  <c r="X17" i="6" s="1"/>
  <c r="X18" i="6" s="1"/>
  <c r="X8" i="6"/>
  <c r="Y6" i="4"/>
  <c r="Y14" i="6" l="1"/>
  <c r="W8" i="7"/>
  <c r="W9" i="7"/>
  <c r="X24" i="4"/>
  <c r="X20" i="6"/>
  <c r="X21" i="6"/>
  <c r="Y21" i="2"/>
  <c r="Y12" i="3"/>
  <c r="Y24" i="2"/>
  <c r="Y25" i="2" l="1"/>
  <c r="Y13" i="3" s="1"/>
  <c r="Y6" i="3"/>
  <c r="Z17" i="2"/>
  <c r="Y19" i="3"/>
  <c r="X11" i="7" s="1"/>
  <c r="Y14" i="3"/>
  <c r="Y26" i="2" l="1"/>
  <c r="Y7" i="3" l="1"/>
  <c r="Y8" i="3" s="1"/>
  <c r="Z23" i="2"/>
  <c r="Y29" i="2"/>
  <c r="Y28" i="2"/>
  <c r="Z8" i="2"/>
  <c r="Z9" i="2" s="1"/>
  <c r="Z11" i="2" s="1"/>
  <c r="Z12" i="2" l="1"/>
  <c r="Z14" i="2"/>
  <c r="Z13" i="2"/>
  <c r="X4" i="7"/>
  <c r="Y14" i="4"/>
  <c r="Y13" i="4"/>
  <c r="Y30" i="2"/>
  <c r="X5" i="7"/>
  <c r="Y18" i="3"/>
  <c r="Y7" i="4"/>
  <c r="Y8" i="4" s="1"/>
  <c r="X6" i="7"/>
  <c r="Y11" i="6"/>
  <c r="Y12" i="6" s="1"/>
  <c r="Y16" i="3"/>
  <c r="Y9" i="3"/>
  <c r="X7" i="7" s="1"/>
  <c r="Z15" i="2" l="1"/>
  <c r="Y16" i="4"/>
  <c r="Y18" i="4" s="1"/>
  <c r="Y20" i="4" s="1"/>
  <c r="Y6" i="6"/>
  <c r="Y21" i="4"/>
  <c r="Y22" i="4" s="1"/>
  <c r="X10" i="7" s="1"/>
  <c r="Y17" i="3"/>
  <c r="Z11" i="3"/>
  <c r="Z18" i="2"/>
  <c r="Y7" i="6" l="1"/>
  <c r="Y16" i="6" s="1"/>
  <c r="Y23" i="4"/>
  <c r="Y15" i="6"/>
  <c r="Y17" i="6" s="1"/>
  <c r="Y18" i="6" s="1"/>
  <c r="Y8" i="6"/>
  <c r="Z6" i="4"/>
  <c r="Z19" i="2"/>
  <c r="Z21" i="2"/>
  <c r="Z20" i="2"/>
  <c r="Z6" i="3" l="1"/>
  <c r="AA17" i="2"/>
  <c r="Z12" i="3"/>
  <c r="Z24" i="2"/>
  <c r="Y20" i="6"/>
  <c r="Y21" i="6"/>
  <c r="X9" i="7"/>
  <c r="Y24" i="4"/>
  <c r="Z14" i="6"/>
  <c r="X8" i="7"/>
  <c r="Z25" i="2" l="1"/>
  <c r="Z13" i="3" s="1"/>
  <c r="Z19" i="3"/>
  <c r="Z14" i="3"/>
  <c r="Y11" i="7" l="1"/>
  <c r="C36" i="5"/>
  <c r="Z26" i="2"/>
  <c r="AA23" i="2" l="1"/>
  <c r="Z7" i="3"/>
  <c r="Z8" i="3" s="1"/>
  <c r="Z29" i="2"/>
  <c r="Z28" i="2"/>
  <c r="AA8" i="2"/>
  <c r="AA9" i="2" s="1"/>
  <c r="AA11" i="2" s="1"/>
  <c r="Y5" i="7" l="1"/>
  <c r="Z7" i="4"/>
  <c r="Z8" i="4" s="1"/>
  <c r="Z18" i="3"/>
  <c r="C30" i="5"/>
  <c r="AA14" i="2"/>
  <c r="AA13" i="2"/>
  <c r="AA12" i="2"/>
  <c r="AA15" i="2"/>
  <c r="Y4" i="7"/>
  <c r="Z14" i="4"/>
  <c r="Z13" i="4"/>
  <c r="C29" i="5"/>
  <c r="Z30" i="2"/>
  <c r="C31" i="5" s="1"/>
  <c r="Y6" i="7"/>
  <c r="Z11" i="6"/>
  <c r="Z12" i="6" s="1"/>
  <c r="C32" i="5"/>
  <c r="Z9" i="3"/>
  <c r="Z16" i="3"/>
  <c r="AA6" i="4" l="1"/>
  <c r="Z6" i="6"/>
  <c r="Z16" i="4"/>
  <c r="Z18" i="4" s="1"/>
  <c r="Z20" i="4" s="1"/>
  <c r="Z21" i="4"/>
  <c r="Z22" i="4" s="1"/>
  <c r="B42" i="8"/>
  <c r="Z17" i="3"/>
  <c r="AA11" i="3"/>
  <c r="AA18" i="2"/>
  <c r="Y7" i="7"/>
  <c r="C33" i="5"/>
  <c r="Y10" i="7" l="1"/>
  <c r="C34" i="5"/>
  <c r="Z7" i="6"/>
  <c r="Z16" i="6" s="1"/>
  <c r="Z23" i="4"/>
  <c r="AA20" i="2"/>
  <c r="AA19" i="2"/>
  <c r="Z15" i="6"/>
  <c r="Z17" i="6" s="1"/>
  <c r="Z18" i="6" s="1"/>
  <c r="Z8" i="6"/>
  <c r="Z20" i="6" l="1"/>
  <c r="Z21" i="6"/>
  <c r="AA12" i="3"/>
  <c r="AA24" i="2"/>
  <c r="Y8" i="7"/>
  <c r="AA14" i="6"/>
  <c r="AA21" i="2"/>
  <c r="Y9" i="7"/>
  <c r="Z24" i="4"/>
  <c r="C35" i="5" s="1"/>
  <c r="AA25" i="2" l="1"/>
  <c r="AA13" i="3" s="1"/>
  <c r="AB17" i="2"/>
  <c r="AA6" i="3"/>
  <c r="AA19" i="3"/>
  <c r="Z11" i="7" s="1"/>
  <c r="AA14" i="3"/>
  <c r="AA26" i="2" l="1"/>
  <c r="AA7" i="3" l="1"/>
  <c r="AA8" i="3" s="1"/>
  <c r="AB23" i="2"/>
  <c r="AA29" i="2"/>
  <c r="AA28" i="2"/>
  <c r="AB8" i="2"/>
  <c r="AB9" i="2" s="1"/>
  <c r="AB11" i="2" s="1"/>
  <c r="AB14" i="2" l="1"/>
  <c r="AB12" i="2"/>
  <c r="AB13" i="2"/>
  <c r="AB15" i="2"/>
  <c r="Z4" i="7"/>
  <c r="AA14" i="4"/>
  <c r="AA13" i="4"/>
  <c r="AA30" i="2"/>
  <c r="Z5" i="7"/>
  <c r="AA18" i="3"/>
  <c r="AA7" i="4"/>
  <c r="AA8" i="4" s="1"/>
  <c r="Z6" i="7"/>
  <c r="AA11" i="6"/>
  <c r="AA12" i="6" s="1"/>
  <c r="AA9" i="3"/>
  <c r="Z7" i="7" s="1"/>
  <c r="AA16" i="3"/>
  <c r="AA16" i="4" l="1"/>
  <c r="AA18" i="4" s="1"/>
  <c r="AA20" i="4" s="1"/>
  <c r="AA6" i="6"/>
  <c r="AA21" i="4"/>
  <c r="AA22" i="4"/>
  <c r="Z10" i="7" s="1"/>
  <c r="AA17" i="3"/>
  <c r="AB6" i="4"/>
  <c r="AB11" i="3"/>
  <c r="AB18" i="2"/>
  <c r="AA7" i="6" l="1"/>
  <c r="AA16" i="6" s="1"/>
  <c r="AA23" i="4"/>
  <c r="AA8" i="6"/>
  <c r="AA15" i="6"/>
  <c r="AA17" i="6" s="1"/>
  <c r="AA18" i="6" s="1"/>
  <c r="AB19" i="2"/>
  <c r="AB21" i="2" s="1"/>
  <c r="AB20" i="2"/>
  <c r="AC17" i="2" l="1"/>
  <c r="AB6" i="3"/>
  <c r="AB12" i="3"/>
  <c r="AB24" i="2"/>
  <c r="AB14" i="6"/>
  <c r="Z8" i="7"/>
  <c r="AA20" i="6"/>
  <c r="AA21" i="6"/>
  <c r="Z9" i="7"/>
  <c r="AA24" i="4"/>
  <c r="AB25" i="2" l="1"/>
  <c r="AB13" i="3" s="1"/>
  <c r="AB19" i="3" s="1"/>
  <c r="AA11" i="7" s="1"/>
  <c r="AB14" i="3" l="1"/>
  <c r="AB26" i="2"/>
  <c r="AC23" i="2" l="1"/>
  <c r="AB7" i="3"/>
  <c r="AB8" i="3" s="1"/>
  <c r="AB29" i="2"/>
  <c r="AC8" i="2"/>
  <c r="AC9" i="2" s="1"/>
  <c r="AC11" i="2" s="1"/>
  <c r="AB28" i="2"/>
  <c r="AA4" i="7" l="1"/>
  <c r="AB14" i="4"/>
  <c r="AB13" i="4"/>
  <c r="AB30" i="2"/>
  <c r="AC14" i="2"/>
  <c r="AC12" i="2"/>
  <c r="AC13" i="2"/>
  <c r="AC15" i="2"/>
  <c r="AA5" i="7"/>
  <c r="AB18" i="3"/>
  <c r="AB7" i="4"/>
  <c r="AB8" i="4" s="1"/>
  <c r="AA6" i="7"/>
  <c r="AB11" i="6"/>
  <c r="AB12" i="6" s="1"/>
  <c r="AB9" i="3"/>
  <c r="AA7" i="7" s="1"/>
  <c r="AB16" i="3"/>
  <c r="AC6" i="4" l="1"/>
  <c r="AC11" i="3"/>
  <c r="AC18" i="2"/>
  <c r="AB21" i="4"/>
  <c r="AB22" i="4" s="1"/>
  <c r="AA10" i="7" s="1"/>
  <c r="AB6" i="6"/>
  <c r="AB16" i="4"/>
  <c r="AB17" i="3"/>
  <c r="AB18" i="4"/>
  <c r="AB20" i="4" s="1"/>
  <c r="AB7" i="6" l="1"/>
  <c r="AB16" i="6" s="1"/>
  <c r="AB23" i="4"/>
  <c r="AC20" i="2"/>
  <c r="AC19" i="2"/>
  <c r="AB15" i="6"/>
  <c r="AB17" i="6" s="1"/>
  <c r="AB18" i="6" s="1"/>
  <c r="AB8" i="6"/>
  <c r="AB20" i="6" l="1"/>
  <c r="AB21" i="6"/>
  <c r="AC12" i="3"/>
  <c r="AC24" i="2"/>
  <c r="AC21" i="2"/>
  <c r="AA9" i="7"/>
  <c r="AB24" i="4"/>
  <c r="AC14" i="6"/>
  <c r="AA8" i="7"/>
  <c r="AC25" i="2" l="1"/>
  <c r="AC13" i="3" s="1"/>
  <c r="AC26" i="2"/>
  <c r="AD17" i="2"/>
  <c r="AC6" i="3"/>
  <c r="AC29" i="2"/>
  <c r="AC28" i="2"/>
  <c r="AD8" i="2"/>
  <c r="AD9" i="2" s="1"/>
  <c r="AD11" i="2" s="1"/>
  <c r="AC19" i="3"/>
  <c r="AB11" i="7" s="1"/>
  <c r="AC14" i="3"/>
  <c r="AD14" i="2" l="1"/>
  <c r="AD12" i="2"/>
  <c r="AD13" i="2"/>
  <c r="AC7" i="3"/>
  <c r="AC8" i="3" s="1"/>
  <c r="AD23" i="2"/>
  <c r="AB4" i="7"/>
  <c r="AC14" i="4"/>
  <c r="AC13" i="4"/>
  <c r="AC30" i="2"/>
  <c r="AB5" i="7"/>
  <c r="AC7" i="4"/>
  <c r="AC8" i="4" s="1"/>
  <c r="AB6" i="7" l="1"/>
  <c r="AC11" i="6"/>
  <c r="AC12" i="6" s="1"/>
  <c r="AC9" i="3"/>
  <c r="AB7" i="7" s="1"/>
  <c r="AC16" i="3"/>
  <c r="AC18" i="3"/>
  <c r="AD11" i="3"/>
  <c r="AD18" i="2"/>
  <c r="AD15" i="2"/>
  <c r="AD19" i="2" l="1"/>
  <c r="AD20" i="2"/>
  <c r="AC6" i="6"/>
  <c r="AC21" i="4"/>
  <c r="AC16" i="4"/>
  <c r="AC18" i="4" s="1"/>
  <c r="AC20" i="4" s="1"/>
  <c r="AC7" i="6" s="1"/>
  <c r="AC16" i="6" s="1"/>
  <c r="AC22" i="4"/>
  <c r="AB10" i="7" s="1"/>
  <c r="AC17" i="3"/>
  <c r="AD6" i="4"/>
  <c r="AC23" i="4" l="1"/>
  <c r="AC15" i="6"/>
  <c r="AC17" i="6" s="1"/>
  <c r="AC18" i="6" s="1"/>
  <c r="AC8" i="6"/>
  <c r="AD12" i="3"/>
  <c r="AD24" i="2"/>
  <c r="AD21" i="2"/>
  <c r="AC20" i="6" l="1"/>
  <c r="AC21" i="6"/>
  <c r="AE17" i="2"/>
  <c r="AD6" i="3"/>
  <c r="AD25" i="2"/>
  <c r="AD13" i="3" s="1"/>
  <c r="AD19" i="3" s="1"/>
  <c r="AC11" i="7" s="1"/>
  <c r="AD14" i="6"/>
  <c r="AB8" i="7"/>
  <c r="AB9" i="7"/>
  <c r="AC24" i="4"/>
  <c r="AD26" i="2" l="1"/>
  <c r="AD14" i="3"/>
  <c r="AD7" i="3" l="1"/>
  <c r="AD8" i="3" s="1"/>
  <c r="AE23" i="2"/>
  <c r="AD29" i="2"/>
  <c r="AE8" i="2"/>
  <c r="AE9" i="2" s="1"/>
  <c r="AE11" i="2" s="1"/>
  <c r="AD28" i="2"/>
  <c r="AC4" i="7" l="1"/>
  <c r="AD14" i="4"/>
  <c r="AD13" i="4"/>
  <c r="AD30" i="2"/>
  <c r="AE13" i="2"/>
  <c r="AE12" i="2"/>
  <c r="AE14" i="2"/>
  <c r="AE15" i="2" s="1"/>
  <c r="AC5" i="7"/>
  <c r="AD7" i="4"/>
  <c r="AD8" i="4" s="1"/>
  <c r="AD18" i="3"/>
  <c r="AC6" i="7"/>
  <c r="AD11" i="6"/>
  <c r="AD12" i="6" s="1"/>
  <c r="AD9" i="3"/>
  <c r="AC7" i="7" s="1"/>
  <c r="AD16" i="3"/>
  <c r="AE6" i="4" l="1"/>
  <c r="AD6" i="6"/>
  <c r="AD21" i="4"/>
  <c r="AD16" i="4"/>
  <c r="AD18" i="4" s="1"/>
  <c r="AD20" i="4" s="1"/>
  <c r="AD22" i="4"/>
  <c r="AC10" i="7" s="1"/>
  <c r="AD17" i="3"/>
  <c r="AE11" i="3"/>
  <c r="AE18" i="2"/>
  <c r="AD7" i="6" l="1"/>
  <c r="AD16" i="6" s="1"/>
  <c r="AD23" i="4"/>
  <c r="AD15" i="6"/>
  <c r="AD17" i="6" s="1"/>
  <c r="AD18" i="6" s="1"/>
  <c r="AD8" i="6"/>
  <c r="AE20" i="2"/>
  <c r="AE19" i="2"/>
  <c r="AE12" i="3" l="1"/>
  <c r="AE24" i="2"/>
  <c r="AE14" i="6"/>
  <c r="AC8" i="7"/>
  <c r="AE21" i="2"/>
  <c r="AD20" i="6"/>
  <c r="AD21" i="6"/>
  <c r="AC9" i="7"/>
  <c r="AD24" i="4"/>
  <c r="AE6" i="3" l="1"/>
  <c r="AF17" i="2"/>
  <c r="AE25" i="2"/>
  <c r="AE13" i="3" s="1"/>
  <c r="AE19" i="3" s="1"/>
  <c r="AD11" i="7" s="1"/>
  <c r="AE14" i="3" l="1"/>
  <c r="AE26" i="2"/>
  <c r="AE7" i="3" l="1"/>
  <c r="AE8" i="3" s="1"/>
  <c r="AF23" i="2"/>
  <c r="AF8" i="2"/>
  <c r="AF9" i="2" s="1"/>
  <c r="AF11" i="2" s="1"/>
  <c r="AE29" i="2"/>
  <c r="AE28" i="2"/>
  <c r="AD5" i="7" l="1"/>
  <c r="AE7" i="4"/>
  <c r="AE8" i="4" s="1"/>
  <c r="AE18" i="3"/>
  <c r="AD4" i="7"/>
  <c r="AE13" i="4"/>
  <c r="AE30" i="2"/>
  <c r="AE14" i="4"/>
  <c r="AF13" i="2"/>
  <c r="AF12" i="2"/>
  <c r="AF14" i="2"/>
  <c r="AD6" i="7"/>
  <c r="AE11" i="6"/>
  <c r="AE12" i="6" s="1"/>
  <c r="AE9" i="3"/>
  <c r="AD7" i="7" s="1"/>
  <c r="AE16" i="3"/>
  <c r="AF11" i="3" l="1"/>
  <c r="AF18" i="2"/>
  <c r="AE21" i="4"/>
  <c r="AE22" i="4" s="1"/>
  <c r="AD10" i="7" s="1"/>
  <c r="AE6" i="6"/>
  <c r="AE16" i="4"/>
  <c r="AE18" i="4" s="1"/>
  <c r="AE20" i="4" s="1"/>
  <c r="AE17" i="3"/>
  <c r="AF15" i="2"/>
  <c r="AE7" i="6" l="1"/>
  <c r="AE16" i="6" s="1"/>
  <c r="AE23" i="4"/>
  <c r="AF6" i="4"/>
  <c r="AF19" i="2"/>
  <c r="AF20" i="2"/>
  <c r="AE15" i="6"/>
  <c r="AE17" i="6" s="1"/>
  <c r="AE18" i="6" s="1"/>
  <c r="AE8" i="6"/>
  <c r="AE20" i="6" l="1"/>
  <c r="AE21" i="6"/>
  <c r="AD8" i="7"/>
  <c r="AF14" i="6"/>
  <c r="AF12" i="3"/>
  <c r="AF24" i="2"/>
  <c r="AF21" i="2"/>
  <c r="AD9" i="7"/>
  <c r="AE24" i="4"/>
  <c r="AF25" i="2" l="1"/>
  <c r="AF13" i="3" s="1"/>
  <c r="AF19" i="3" s="1"/>
  <c r="AE11" i="7" s="1"/>
  <c r="AF26" i="2"/>
  <c r="AF28" i="2" s="1"/>
  <c r="AF14" i="3"/>
  <c r="AF6" i="3"/>
  <c r="AG17" i="2"/>
  <c r="AE4" i="7" l="1"/>
  <c r="AF13" i="4"/>
  <c r="AF14" i="4"/>
  <c r="AG8" i="2"/>
  <c r="AG9" i="2" s="1"/>
  <c r="AG11" i="2" s="1"/>
  <c r="AF7" i="3"/>
  <c r="AG23" i="2"/>
  <c r="AF29" i="2"/>
  <c r="AF8" i="3"/>
  <c r="AE6" i="7" l="1"/>
  <c r="AF11" i="6"/>
  <c r="AF12" i="6" s="1"/>
  <c r="AF9" i="3"/>
  <c r="AE7" i="7" s="1"/>
  <c r="AF16" i="3"/>
  <c r="AE5" i="7"/>
  <c r="AF7" i="4"/>
  <c r="AF8" i="4" s="1"/>
  <c r="AF18" i="3"/>
  <c r="AG14" i="2"/>
  <c r="AG15" i="2" s="1"/>
  <c r="AG13" i="2"/>
  <c r="AG12" i="2"/>
  <c r="AF30" i="2"/>
  <c r="AG6" i="4" l="1"/>
  <c r="AF6" i="6"/>
  <c r="AF21" i="4"/>
  <c r="AF16" i="4"/>
  <c r="AF18" i="4" s="1"/>
  <c r="AF20" i="4" s="1"/>
  <c r="AF22" i="4"/>
  <c r="AE10" i="7" s="1"/>
  <c r="AF17" i="3"/>
  <c r="AG11" i="3"/>
  <c r="AG18" i="2"/>
  <c r="AF7" i="6" l="1"/>
  <c r="AF16" i="6" s="1"/>
  <c r="AF23" i="4"/>
  <c r="AG20" i="2"/>
  <c r="AG19" i="2"/>
  <c r="AG21" i="2"/>
  <c r="AF15" i="6"/>
  <c r="AF17" i="6" s="1"/>
  <c r="AF18" i="6" s="1"/>
  <c r="AF8" i="6"/>
  <c r="AF20" i="6" l="1"/>
  <c r="AF21" i="6"/>
  <c r="AG14" i="6"/>
  <c r="AE8" i="7"/>
  <c r="AH17" i="2"/>
  <c r="AG6" i="3"/>
  <c r="AG12" i="3"/>
  <c r="AG24" i="2"/>
  <c r="AE9" i="7"/>
  <c r="AF24" i="4"/>
  <c r="AG25" i="2" l="1"/>
  <c r="AG13" i="3" s="1"/>
  <c r="AG19" i="3" s="1"/>
  <c r="AF11" i="7" s="1"/>
  <c r="AG26" i="2" l="1"/>
  <c r="AG14" i="3"/>
  <c r="AH23" i="2" l="1"/>
  <c r="AG7" i="3"/>
  <c r="AG8" i="3" s="1"/>
  <c r="AG29" i="2"/>
  <c r="AG28" i="2"/>
  <c r="AH8" i="2"/>
  <c r="AH9" i="2" s="1"/>
  <c r="AH11" i="2" s="1"/>
  <c r="AH13" i="2" l="1"/>
  <c r="AH12" i="2"/>
  <c r="AH14" i="2"/>
  <c r="AF4" i="7"/>
  <c r="AG13" i="4"/>
  <c r="AG30" i="2"/>
  <c r="AG14" i="4"/>
  <c r="AF5" i="7"/>
  <c r="AG7" i="4"/>
  <c r="AG8" i="4" s="1"/>
  <c r="AG18" i="3"/>
  <c r="AF6" i="7"/>
  <c r="AG11" i="6"/>
  <c r="AG12" i="6" s="1"/>
  <c r="AG16" i="3"/>
  <c r="AG9" i="3"/>
  <c r="AF7" i="7" s="1"/>
  <c r="AH18" i="2" l="1"/>
  <c r="AH11" i="3"/>
  <c r="AG6" i="6"/>
  <c r="AG21" i="4"/>
  <c r="AG22" i="4" s="1"/>
  <c r="AF10" i="7" s="1"/>
  <c r="AG16" i="4"/>
  <c r="AG18" i="4" s="1"/>
  <c r="AG20" i="4" s="1"/>
  <c r="AG17" i="3"/>
  <c r="AH15" i="2"/>
  <c r="AG7" i="6" l="1"/>
  <c r="AG16" i="6" s="1"/>
  <c r="AG23" i="4"/>
  <c r="AG15" i="6"/>
  <c r="AG17" i="6" s="1"/>
  <c r="AG18" i="6" s="1"/>
  <c r="AG8" i="6"/>
  <c r="AH19" i="2"/>
  <c r="AH20" i="2"/>
  <c r="AH6" i="4"/>
  <c r="AH12" i="3" l="1"/>
  <c r="AH24" i="2"/>
  <c r="AH21" i="2"/>
  <c r="AG20" i="6"/>
  <c r="AG21" i="6"/>
  <c r="AH14" i="6"/>
  <c r="AF8" i="7"/>
  <c r="AF9" i="7"/>
  <c r="AG24" i="4"/>
  <c r="AI17" i="2" l="1"/>
  <c r="AH6" i="3"/>
  <c r="AH25" i="2"/>
  <c r="AH13" i="3" s="1"/>
  <c r="AH19" i="3" s="1"/>
  <c r="AG11" i="7" s="1"/>
  <c r="AH14" i="3" l="1"/>
  <c r="AH26" i="2"/>
  <c r="AI23" i="2" l="1"/>
  <c r="AH7" i="3"/>
  <c r="AH8" i="3" s="1"/>
  <c r="AI8" i="2"/>
  <c r="AI9" i="2" s="1"/>
  <c r="AI11" i="2" s="1"/>
  <c r="AH29" i="2"/>
  <c r="AH28" i="2"/>
  <c r="AI14" i="2" l="1"/>
  <c r="AI13" i="2"/>
  <c r="AI12" i="2"/>
  <c r="AG4" i="7"/>
  <c r="AH30" i="2"/>
  <c r="AH13" i="4"/>
  <c r="AH14" i="4"/>
  <c r="AG5" i="7"/>
  <c r="AH7" i="4"/>
  <c r="AH8" i="4" s="1"/>
  <c r="AH18" i="3"/>
  <c r="AG6" i="7"/>
  <c r="AH11" i="6"/>
  <c r="AH12" i="6" s="1"/>
  <c r="AH16" i="3"/>
  <c r="AH9" i="3"/>
  <c r="AG7" i="7" s="1"/>
  <c r="AI18" i="2" l="1"/>
  <c r="AI11" i="3"/>
  <c r="AH6" i="6"/>
  <c r="AH21" i="4"/>
  <c r="AH22" i="4" s="1"/>
  <c r="AG10" i="7" s="1"/>
  <c r="AH16" i="4"/>
  <c r="AH18" i="4" s="1"/>
  <c r="AH20" i="4" s="1"/>
  <c r="AH17" i="3"/>
  <c r="AI15" i="2"/>
  <c r="AH7" i="6" l="1"/>
  <c r="AH16" i="6" s="1"/>
  <c r="AH23" i="4"/>
  <c r="AH15" i="6"/>
  <c r="AH17" i="6" s="1"/>
  <c r="AH18" i="6" s="1"/>
  <c r="AH8" i="6"/>
  <c r="AI20" i="2"/>
  <c r="AI19" i="2"/>
  <c r="AI6" i="4"/>
  <c r="AI12" i="3" l="1"/>
  <c r="AI24" i="2"/>
  <c r="AI21" i="2"/>
  <c r="AH20" i="6"/>
  <c r="AH21" i="6"/>
  <c r="AI14" i="6"/>
  <c r="AG8" i="7"/>
  <c r="AG9" i="7"/>
  <c r="AH24" i="4"/>
  <c r="AI25" i="2" l="1"/>
  <c r="AI13" i="3" s="1"/>
  <c r="AI6" i="3"/>
  <c r="AJ17" i="2"/>
  <c r="AI19" i="3"/>
  <c r="AH11" i="7" s="1"/>
  <c r="AI14" i="3"/>
  <c r="AI26" i="2" l="1"/>
  <c r="AJ23" i="2" l="1"/>
  <c r="AI7" i="3"/>
  <c r="AI8" i="3" s="1"/>
  <c r="AI28" i="2"/>
  <c r="AI29" i="2"/>
  <c r="AJ8" i="2"/>
  <c r="AJ9" i="2" s="1"/>
  <c r="AJ11" i="2" s="1"/>
  <c r="AJ13" i="2" l="1"/>
  <c r="AJ14" i="2"/>
  <c r="AJ12" i="2"/>
  <c r="AH5" i="7"/>
  <c r="AI18" i="3"/>
  <c r="AI7" i="4"/>
  <c r="AI8" i="4" s="1"/>
  <c r="AH4" i="7"/>
  <c r="AI30" i="2"/>
  <c r="AI14" i="4"/>
  <c r="AI13" i="4"/>
  <c r="AH6" i="7"/>
  <c r="AI11" i="6"/>
  <c r="AI12" i="6" s="1"/>
  <c r="AI16" i="3"/>
  <c r="AI9" i="3"/>
  <c r="AH7" i="7" s="1"/>
  <c r="AJ11" i="3" l="1"/>
  <c r="AJ18" i="2"/>
  <c r="AI21" i="4"/>
  <c r="AI22" i="4" s="1"/>
  <c r="AH10" i="7" s="1"/>
  <c r="AI6" i="6"/>
  <c r="AI16" i="4"/>
  <c r="AI18" i="4" s="1"/>
  <c r="AI20" i="4" s="1"/>
  <c r="AI17" i="3"/>
  <c r="AJ15" i="2"/>
  <c r="AI7" i="6" l="1"/>
  <c r="AI16" i="6" s="1"/>
  <c r="AI23" i="4"/>
  <c r="AI15" i="6"/>
  <c r="AI17" i="6" s="1"/>
  <c r="AI18" i="6" s="1"/>
  <c r="AI8" i="6"/>
  <c r="AJ20" i="2"/>
  <c r="AJ19" i="2"/>
  <c r="AJ6" i="4"/>
  <c r="AJ12" i="3" l="1"/>
  <c r="AJ24" i="2"/>
  <c r="AJ21" i="2"/>
  <c r="AJ14" i="6"/>
  <c r="AH8" i="7"/>
  <c r="AI20" i="6"/>
  <c r="AI21" i="6"/>
  <c r="AH9" i="7"/>
  <c r="AI24" i="4"/>
  <c r="AJ6" i="3" l="1"/>
  <c r="AK17" i="2"/>
  <c r="AJ25" i="2"/>
  <c r="AJ13" i="3" s="1"/>
  <c r="AJ19" i="3" s="1"/>
  <c r="AI11" i="7" s="1"/>
  <c r="AJ26" i="2" l="1"/>
  <c r="AJ14" i="3"/>
  <c r="AJ7" i="3" l="1"/>
  <c r="AJ8" i="3" s="1"/>
  <c r="AK23" i="2"/>
  <c r="AJ29" i="2"/>
  <c r="AJ28" i="2"/>
  <c r="AK8" i="2"/>
  <c r="AK9" i="2" s="1"/>
  <c r="AK11" i="2" s="1"/>
  <c r="AI5" i="7" l="1"/>
  <c r="AJ18" i="3"/>
  <c r="AJ7" i="4"/>
  <c r="AJ8" i="4" s="1"/>
  <c r="AK13" i="2"/>
  <c r="AK14" i="2"/>
  <c r="AK12" i="2"/>
  <c r="AI4" i="7"/>
  <c r="AJ14" i="4"/>
  <c r="AJ13" i="4"/>
  <c r="AJ30" i="2"/>
  <c r="AI6" i="7"/>
  <c r="AJ11" i="6"/>
  <c r="AJ12" i="6" s="1"/>
  <c r="AJ16" i="3"/>
  <c r="AJ9" i="3"/>
  <c r="AI7" i="7" s="1"/>
  <c r="AK11" i="3" l="1"/>
  <c r="AK18" i="2"/>
  <c r="AJ6" i="6"/>
  <c r="AJ16" i="4"/>
  <c r="AJ18" i="4" s="1"/>
  <c r="AJ20" i="4" s="1"/>
  <c r="AJ21" i="4"/>
  <c r="AJ22" i="4" s="1"/>
  <c r="AI10" i="7" s="1"/>
  <c r="AJ17" i="3"/>
  <c r="AK15" i="2"/>
  <c r="AJ7" i="6" l="1"/>
  <c r="AJ16" i="6" s="1"/>
  <c r="AJ23" i="4"/>
  <c r="AJ15" i="6"/>
  <c r="AJ17" i="6" s="1"/>
  <c r="AJ18" i="6" s="1"/>
  <c r="AJ8" i="6"/>
  <c r="AK20" i="2"/>
  <c r="AK19" i="2"/>
  <c r="AK21" i="2"/>
  <c r="AK6" i="4"/>
  <c r="AK6" i="3" l="1"/>
  <c r="AL17" i="2"/>
  <c r="AK12" i="3"/>
  <c r="AK24" i="2"/>
  <c r="AK14" i="6"/>
  <c r="AI8" i="7"/>
  <c r="AI9" i="7"/>
  <c r="AJ24" i="4"/>
  <c r="AJ20" i="6"/>
  <c r="AJ21" i="6"/>
  <c r="AK25" i="2" l="1"/>
  <c r="AK13" i="3" s="1"/>
  <c r="AK26" i="2"/>
  <c r="AK19" i="3"/>
  <c r="AJ11" i="7" s="1"/>
  <c r="AK14" i="3"/>
  <c r="AK7" i="3" l="1"/>
  <c r="AK8" i="3" s="1"/>
  <c r="AL23" i="2"/>
  <c r="AL8" i="2"/>
  <c r="AL9" i="2" s="1"/>
  <c r="AL11" i="2" s="1"/>
  <c r="AK29" i="2"/>
  <c r="AK28" i="2"/>
  <c r="AL13" i="2" l="1"/>
  <c r="AL14" i="2"/>
  <c r="AL12" i="2"/>
  <c r="AJ4" i="7"/>
  <c r="AK14" i="4"/>
  <c r="AK13" i="4"/>
  <c r="AK30" i="2"/>
  <c r="AJ5" i="7"/>
  <c r="AK18" i="3"/>
  <c r="AK7" i="4"/>
  <c r="AK8" i="4" s="1"/>
  <c r="AJ6" i="7"/>
  <c r="AK11" i="6"/>
  <c r="AK12" i="6" s="1"/>
  <c r="AK16" i="3"/>
  <c r="AK9" i="3"/>
  <c r="AJ7" i="7" s="1"/>
  <c r="AK6" i="6" l="1"/>
  <c r="AK16" i="4"/>
  <c r="AK21" i="4"/>
  <c r="AK22" i="4"/>
  <c r="AJ10" i="7" s="1"/>
  <c r="AK17" i="3"/>
  <c r="AK20" i="4"/>
  <c r="AK7" i="6" s="1"/>
  <c r="AK16" i="6" s="1"/>
  <c r="AK18" i="4"/>
  <c r="AL11" i="3"/>
  <c r="AL18" i="2"/>
  <c r="AL15" i="2"/>
  <c r="AL19" i="2" l="1"/>
  <c r="AL20" i="2"/>
  <c r="AL21" i="2" s="1"/>
  <c r="AK23" i="4"/>
  <c r="AL6" i="4"/>
  <c r="AK15" i="6"/>
  <c r="AK17" i="6" s="1"/>
  <c r="AK18" i="6" s="1"/>
  <c r="AK8" i="6"/>
  <c r="AL6" i="3" l="1"/>
  <c r="AK20" i="6"/>
  <c r="AK21" i="6"/>
  <c r="AL14" i="6"/>
  <c r="AJ8" i="7"/>
  <c r="AJ9" i="7"/>
  <c r="AK24" i="4"/>
  <c r="AL12" i="3"/>
  <c r="AL24" i="2"/>
  <c r="AL25" i="2" l="1"/>
  <c r="AL13" i="3" s="1"/>
  <c r="AL19" i="3" s="1"/>
  <c r="AL26" i="2"/>
  <c r="AK11" i="7" l="1"/>
  <c r="D36" i="5"/>
  <c r="AL7" i="3"/>
  <c r="AL8" i="3" s="1"/>
  <c r="AL29" i="2"/>
  <c r="AL28" i="2"/>
  <c r="AL14" i="3"/>
  <c r="AK4" i="7" l="1"/>
  <c r="D29" i="5"/>
  <c r="AL14" i="4"/>
  <c r="AL13" i="4"/>
  <c r="AL30" i="2"/>
  <c r="D31" i="5" s="1"/>
  <c r="AK6" i="7"/>
  <c r="AL11" i="6"/>
  <c r="AL12" i="6" s="1"/>
  <c r="D32" i="5"/>
  <c r="AL16" i="3"/>
  <c r="AL9" i="3"/>
  <c r="B32" i="8"/>
  <c r="AK5" i="7"/>
  <c r="AL7" i="4"/>
  <c r="AL8" i="4" s="1"/>
  <c r="AL18" i="3"/>
  <c r="D30" i="5"/>
  <c r="AL6" i="6" l="1"/>
  <c r="AL16" i="4"/>
  <c r="AL21" i="4"/>
  <c r="AL22" i="4"/>
  <c r="B43" i="8"/>
  <c r="AL17" i="3"/>
  <c r="B40" i="8" s="1"/>
  <c r="AL18" i="4"/>
  <c r="AK7" i="7"/>
  <c r="D33" i="5"/>
  <c r="AL20" i="4"/>
  <c r="AL7" i="6" s="1"/>
  <c r="AL16" i="6" s="1"/>
  <c r="B8" i="8" l="1"/>
  <c r="AK10" i="7"/>
  <c r="D34" i="5"/>
  <c r="AL23" i="4"/>
  <c r="AL15" i="6"/>
  <c r="AL17" i="6" s="1"/>
  <c r="AL18" i="6" s="1"/>
  <c r="AK8" i="7" s="1"/>
  <c r="AL8" i="6"/>
  <c r="AL20" i="6" l="1"/>
  <c r="AL21" i="6"/>
  <c r="B31" i="8" s="1"/>
  <c r="AK9" i="7"/>
  <c r="B66" i="5"/>
  <c r="B67" i="5" s="1"/>
  <c r="AL24" i="4"/>
  <c r="D35" i="5" s="1"/>
  <c r="B28" i="8" l="1"/>
  <c r="B24" i="8"/>
  <c r="B9" i="8"/>
  <c r="B69" i="5"/>
  <c r="B71" i="5"/>
  <c r="B68" i="5"/>
  <c r="B70" i="5" l="1"/>
  <c r="B72" i="5"/>
  <c r="B30" i="8" s="1"/>
  <c r="B29" i="8"/>
</calcChain>
</file>

<file path=xl/sharedStrings.xml><?xml version="1.0" encoding="utf-8"?>
<sst xmlns="http://schemas.openxmlformats.org/spreadsheetml/2006/main" count="689" uniqueCount="422">
  <si>
    <t>POSEIDON.AI — Financial Model Assumptions</t>
  </si>
  <si>
    <t>B2C SaaS | 36-Month Projection | Realistic Growth Scenario</t>
  </si>
  <si>
    <t>PRICING &amp; MONETIZATION</t>
  </si>
  <si>
    <t>Tier</t>
  </si>
  <si>
    <t>Monthly Price</t>
  </si>
  <si>
    <t>Annual Price</t>
  </si>
  <si>
    <t>Engines Included</t>
  </si>
  <si>
    <t>Free</t>
  </si>
  <si>
    <t>Dashboard + Basic Protect (3 alerts/mo)</t>
  </si>
  <si>
    <t>Plus</t>
  </si>
  <si>
    <t>Full Protect + Grow (forecasting, savings insights)</t>
  </si>
  <si>
    <t>Pro</t>
  </si>
  <si>
    <t>All 4 Engines: Protect + Grow + Execute + Govern</t>
  </si>
  <si>
    <t>USER GROWTH</t>
  </si>
  <si>
    <t>Launch users (Month 1)</t>
  </si>
  <si>
    <t>Beta waitlist + ProductHunt launch</t>
  </si>
  <si>
    <t>Initial organic signup rate</t>
  </si>
  <si>
    <t>Starting MoM rate; decays by factor below</t>
  </si>
  <si>
    <t>Paid acquisition (users/mo, M1)</t>
  </si>
  <si>
    <t>Starting paid spend; scales with budget</t>
  </si>
  <si>
    <t>Paid acquisition growth rate</t>
  </si>
  <si>
    <t>MoM increase in paid spend</t>
  </si>
  <si>
    <t>Viral coefficient (K-factor)</t>
  </si>
  <si>
    <t>Invites per user that convert</t>
  </si>
  <si>
    <t>Organic growth decay factor</t>
  </si>
  <si>
    <t>Rate multiplier per month; 0.955 = ~3.5% rate by M36</t>
  </si>
  <si>
    <t>CONVERSION &amp; CHURN</t>
  </si>
  <si>
    <t>Free → Plus conversion rate</t>
  </si>
  <si>
    <t>Monthly; industry 3-7% for freemium fintech</t>
  </si>
  <si>
    <t>Free → Pro conversion rate</t>
  </si>
  <si>
    <t>Monthly; direct-to-Pro skip</t>
  </si>
  <si>
    <t>Plus → Pro upgrade rate</t>
  </si>
  <si>
    <t>Monthly upgrade from Plus to Pro</t>
  </si>
  <si>
    <t>Free churn rate (monthly)</t>
  </si>
  <si>
    <t>Free users who stop using</t>
  </si>
  <si>
    <t>Plus churn rate (monthly)</t>
  </si>
  <si>
    <t>Paid churn; B2C SaaS median ~5-7%, set at lower end</t>
  </si>
  <si>
    <t>Pro churn rate (monthly)</t>
  </si>
  <si>
    <t>Lower churn at higher engagement tier; B2C floor ~3%</t>
  </si>
  <si>
    <t>PRICING ASSUMPTIONS</t>
  </si>
  <si>
    <t>Annual plan adoption rate</t>
  </si>
  <si>
    <t>Pct of paid users choosing annual</t>
  </si>
  <si>
    <t>Annual discount</t>
  </si>
  <si>
    <t>20% off vs monthly</t>
  </si>
  <si>
    <t>Blended ARPU — Plus</t>
  </si>
  <si>
    <t>Weighted monthly + annual mix</t>
  </si>
  <si>
    <t>Blended ARPU — Pro</t>
  </si>
  <si>
    <t>COST STRUCTURE</t>
  </si>
  <si>
    <t>COGS per paid user / mo</t>
  </si>
  <si>
    <t>Cloud infra + AI inference + data feeds (per-user marginal cost incl. AI API calls); AI-first premium</t>
  </si>
  <si>
    <t>COGS per free user / mo</t>
  </si>
  <si>
    <t>Minimal compute for free tier (dashboard rendering, basic alerts)</t>
  </si>
  <si>
    <t>CAC — Organic</t>
  </si>
  <si>
    <t>Content + SEO + referral program cost per signup</t>
  </si>
  <si>
    <t>CAC — Paid</t>
  </si>
  <si>
    <t>Blended CPI across Meta, Google, TikTok; fintech B2C $30-50 range, set at lower end</t>
  </si>
  <si>
    <t>CAC — Blended (formula)</t>
  </si>
  <si>
    <t>~70% organic / 30% paid mix</t>
  </si>
  <si>
    <t>HEADCOUNT PLAN</t>
  </si>
  <si>
    <t>Role</t>
  </si>
  <si>
    <t>M1-6</t>
  </si>
  <si>
    <t>M7-18</t>
  </si>
  <si>
    <t>M19-36</t>
  </si>
  <si>
    <t>Engineering</t>
  </si>
  <si>
    <t>Product &amp; Design</t>
  </si>
  <si>
    <t>Data Science / ML</t>
  </si>
  <si>
    <t>Marketing &amp; Growth</t>
  </si>
  <si>
    <t>Sales &amp; Partnerships</t>
  </si>
  <si>
    <t>G&amp;A (Finance, Legal, HR)</t>
  </si>
  <si>
    <t>Customer Support</t>
  </si>
  <si>
    <t>Total Headcount</t>
  </si>
  <si>
    <t>Avg fully-loaded cost / head / yr</t>
  </si>
  <si>
    <t>Remote-first; salary + benefits + equity + overhead</t>
  </si>
  <si>
    <t>FUNDING</t>
  </si>
  <si>
    <t>Seed round</t>
  </si>
  <si>
    <t>Pre-launch; Month 0</t>
  </si>
  <si>
    <t>Seed pre-money valuation</t>
  </si>
  <si>
    <t>Series A round</t>
  </si>
  <si>
    <t>Trigger on MRR milestone</t>
  </si>
  <si>
    <t>Series A pre-money valuation</t>
  </si>
  <si>
    <t>Series A trigger: MRR &gt;=</t>
  </si>
  <si>
    <t>Raise when MRR hits $300K</t>
  </si>
  <si>
    <t>OPERATING EXPENSES (NON-HEADCOUNT)</t>
  </si>
  <si>
    <t>Cloud infrastructure (base / mo)</t>
  </si>
  <si>
    <t>AWS/GCP base; lean start before per-user scaling</t>
  </si>
  <si>
    <t>AI/ML model costs (base / mo)</t>
  </si>
  <si>
    <t>Foundation model API base + fine-tuning compute (marginal AI inference is in COGS $1.20)</t>
  </si>
  <si>
    <t>Data feeds &amp; APIs (/ mo)</t>
  </si>
  <si>
    <t>Plaid, financial data providers</t>
  </si>
  <si>
    <t>Marketing spend (% of revenue)</t>
  </si>
  <si>
    <t>PLG-first; scales with revenue</t>
  </si>
  <si>
    <t>Office &amp; misc (/ mo)</t>
  </si>
  <si>
    <t>100% remote; no office costs</t>
  </si>
  <si>
    <t>INFRASTRUCTURE SCALING</t>
  </si>
  <si>
    <t>Cloud infra scaling ($/MAU/mo)</t>
  </si>
  <si>
    <t>Per-MAU increment on top of base $10K; covers DB, CDN, monitoring scaling</t>
  </si>
  <si>
    <t>AI/ML scaling ($/MAU/mo)</t>
  </si>
  <si>
    <t>Per-MAU increment on top of base $5K; covers inference scaling beyond COGS</t>
  </si>
  <si>
    <t>CUSTOMER VALUE PROPOSITION</t>
  </si>
  <si>
    <t>Plus: Expected annual benefit ($/yr)</t>
  </si>
  <si>
    <t>Basic Protect ~$150/yr (3 alerts/mo) + Grow ~$200/yr + Execute (5 scenario/mo) ~$150/yr</t>
  </si>
  <si>
    <t>Pro: Expected annual benefit ($/yr)</t>
  </si>
  <si>
    <t>Full Protect $235/yr + Grow $800/yr + Execute $500/yr + Govern $265/yr</t>
  </si>
  <si>
    <t>Plus: Annual cost to customer ($/yr)</t>
  </si>
  <si>
    <t>$7.99 x 12</t>
  </si>
  <si>
    <t>Pro: Annual cost to customer ($/yr)</t>
  </si>
  <si>
    <t>$19.99 x 12</t>
  </si>
  <si>
    <t>Plus: Customer ROI</t>
  </si>
  <si>
    <t>Target: &gt;3x for strong conversion</t>
  </si>
  <si>
    <t>Pro: Customer ROI</t>
  </si>
  <si>
    <t>POSEIDON.AI — User Growth Model</t>
  </si>
  <si>
    <t>36-Month Projection by Tier</t>
  </si>
  <si>
    <t>Metric</t>
  </si>
  <si>
    <t>Units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</si>
  <si>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</si>
  <si>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</si>
  <si>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</si>
  <si>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</si>
  <si>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</si>
  <si>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</si>
  <si>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</si>
  <si>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</si>
  <si>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</si>
  <si>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</si>
  <si>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</si>
  <si>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</si>
  <si>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</si>
  <si>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</si>
  <si>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</si>
  <si>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</si>
  <si>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</si>
  <si>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</si>
  <si>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</si>
  <si>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</si>
  <si>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</si>
  <si>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</si>
  <si>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</si>
  <si>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</si>
  <si>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M25</t>
  </si>
  <si>
    <t>M26</t>
  </si>
  <si>
    <t>M27</t>
  </si>
  <si>
    <t>M28</t>
  </si>
  <si>
    <t>M29</t>
  </si>
  <si>
    <t>M30</t>
  </si>
  <si>
    <t>M31</t>
  </si>
  <si>
    <t>M32</t>
  </si>
  <si>
    <t>M33</t>
  </si>
  <si>
    <t>M34</t>
  </si>
  <si>
    <t>M35</t>
  </si>
  <si>
    <t>M36</t>
  </si>
  <si>
    <t>NEW USER ACQUISITION</t>
  </si>
  <si>
    <t>New organic signups</t>
  </si>
  <si>
    <t>#</t>
  </si>
  <si>
    <t>New paid acquisition</t>
  </si>
  <si>
    <t>Viral / referral signups</t>
  </si>
  <si>
    <t>Total new signups</t>
  </si>
  <si>
    <t>FREE TIER USERS</t>
  </si>
  <si>
    <t>Free — Beginning of Month</t>
  </si>
  <si>
    <t xml:space="preserve">    Less: Convert to Plus</t>
  </si>
  <si>
    <t xml:space="preserve">    Less: Convert to Pro</t>
  </si>
  <si>
    <t xml:space="preserve">  Less: Churn</t>
  </si>
  <si>
    <t>Free — End of Month</t>
  </si>
  <si>
    <t>PLUS TIER USERS ($7.99/mo)</t>
  </si>
  <si>
    <t>Plus — Beginning of Month</t>
  </si>
  <si>
    <t xml:space="preserve">  Add: Conversions from Free</t>
  </si>
  <si>
    <t xml:space="preserve">  Less: Upgrade to Pro</t>
  </si>
  <si>
    <t>Plus — End of Month</t>
  </si>
  <si>
    <t>PRO TIER USERS ($19.99/mo)</t>
  </si>
  <si>
    <t>Pro — Beginning of Month</t>
  </si>
  <si>
    <t xml:space="preserve">  Add: Conversions (Free + Plus)</t>
  </si>
  <si>
    <t>Pro — End of Month</t>
  </si>
  <si>
    <t>TOTAL METRICS</t>
  </si>
  <si>
    <t>Total MAU</t>
  </si>
  <si>
    <t>Total Paid Users</t>
  </si>
  <si>
    <t>Paid %</t>
  </si>
  <si>
    <t>%</t>
  </si>
  <si>
    <t>POSEIDON.AI — Revenue Model</t>
  </si>
  <si>
    <t>MRR / ARR by Tier</t>
  </si>
  <si>
    <t>MRR BY TIER</t>
  </si>
  <si>
    <t>Plus MRR</t>
  </si>
  <si>
    <t>$</t>
  </si>
  <si>
    <t>Pro MRR</t>
  </si>
  <si>
    <t>Total MRR</t>
  </si>
  <si>
    <t>ARR (MRR x 12)</t>
  </si>
  <si>
    <t>MRR MOVEMENTS</t>
  </si>
  <si>
    <t>New MRR (new conversions)</t>
  </si>
  <si>
    <t>Expansion MRR (upgrades)</t>
  </si>
  <si>
    <t>Churned MRR</t>
  </si>
  <si>
    <t>Net New MRR</t>
  </si>
  <si>
    <t>REVENUE</t>
  </si>
  <si>
    <t>Monthly Revenue</t>
  </si>
  <si>
    <t>Cumulative Revenue</t>
  </si>
  <si>
    <t>Blended ARPU (paid users)</t>
  </si>
  <si>
    <t>Net Revenue Retention (NRR)</t>
  </si>
  <si>
    <t>POSEIDON.AI — Cost Structure</t>
  </si>
  <si>
    <t>COGS + OpEx + Headcount</t>
  </si>
  <si>
    <t>COST OF GOODS SOLD (COGS)</t>
  </si>
  <si>
    <t>COGS — Free users</t>
  </si>
  <si>
    <t>COGS — Paid users</t>
  </si>
  <si>
    <t>Total COGS</t>
  </si>
  <si>
    <t>HEADCOUNT COSTS</t>
  </si>
  <si>
    <t>Headcount (FTEs)</t>
  </si>
  <si>
    <t>Total Payroll</t>
  </si>
  <si>
    <t>OPERATING EXPENSES</t>
  </si>
  <si>
    <t>Cloud infrastructure (base + scaling)</t>
  </si>
  <si>
    <t>AI/ML model costs (base + scaling)</t>
  </si>
  <si>
    <t>Data feeds &amp; APIs</t>
  </si>
  <si>
    <t>Office &amp; Misc</t>
  </si>
  <si>
    <t>Total OpEx (non-COGS)</t>
  </si>
  <si>
    <t>PROFITABILITY</t>
  </si>
  <si>
    <t>Total Costs</t>
  </si>
  <si>
    <t>Gross Profit</t>
  </si>
  <si>
    <t>Gross Margin</t>
  </si>
  <si>
    <t>Operating Profit (EBITDA proxy)</t>
  </si>
  <si>
    <t>Operating Margin</t>
  </si>
  <si>
    <t>POSEIDON.AI — Unit Economics</t>
  </si>
  <si>
    <t>CAC, LTV, Payback Period, Contribution Margin</t>
  </si>
  <si>
    <t>CUSTOMER ACQUISITION COST (CAC)</t>
  </si>
  <si>
    <t>Blended CAC</t>
  </si>
  <si>
    <t>CAC Payback — Plus (months)</t>
  </si>
  <si>
    <t>Months to recover CAC from Plus subscriber</t>
  </si>
  <si>
    <t>CAC Payback — Pro (months)</t>
  </si>
  <si>
    <t>LIFETIME VALUE (LTV)</t>
  </si>
  <si>
    <t>Plus avg lifetime (months)</t>
  </si>
  <si>
    <t>1 / monthly churn rate</t>
  </si>
  <si>
    <t>Pro avg lifetime (months)</t>
  </si>
  <si>
    <t>LTV — Plus</t>
  </si>
  <si>
    <t>(ARPU - COGS) x avg lifetime</t>
  </si>
  <si>
    <t>LTV — Pro</t>
  </si>
  <si>
    <t>LTV / CAC — Plus</t>
  </si>
  <si>
    <t>Target: &gt;3.0x for healthy SaaS</t>
  </si>
  <si>
    <t>LTV / CAC — Pro</t>
  </si>
  <si>
    <t>CONTRIBUTION MARGIN (PER USER / MONTH)</t>
  </si>
  <si>
    <t>Plus: Revenue per user</t>
  </si>
  <si>
    <t>Plus: COGS per user</t>
  </si>
  <si>
    <t>Plus: Contribution margin</t>
  </si>
  <si>
    <t>Plus: Contribution margin %</t>
  </si>
  <si>
    <t>Pro: Revenue per user</t>
  </si>
  <si>
    <t>Pro: COGS per user</t>
  </si>
  <si>
    <t>Pro: Contribution margin</t>
  </si>
  <si>
    <t>Pro: Contribution margin %</t>
  </si>
  <si>
    <t>SNAPSHOT METRICS (from model)</t>
  </si>
  <si>
    <t>Total Paid</t>
  </si>
  <si>
    <t>MRR</t>
  </si>
  <si>
    <t>ARR</t>
  </si>
  <si>
    <t>Op Margin</t>
  </si>
  <si>
    <t>NRR (monthly)</t>
  </si>
  <si>
    <t>BREAK-EVEN ANALYSIS</t>
  </si>
  <si>
    <t>Plus % of total MAU at break-even</t>
  </si>
  <si>
    <t>Actual model ratio at M15 (~15.9%)</t>
  </si>
  <si>
    <t>Pro % of total MAU at break-even</t>
  </si>
  <si>
    <t>Actual model ratio at M15 (~6.0%)</t>
  </si>
  <si>
    <t>Free % of total MAU (derived)</t>
  </si>
  <si>
    <t>PER-USER ECONOMICS AT BREAK-EVEN MIX</t>
  </si>
  <si>
    <t>Revenue per MAU (monthly)</t>
  </si>
  <si>
    <t>Plus% x ARPU_plus + Pro% x ARPU_pro</t>
  </si>
  <si>
    <t>COGS per MAU (monthly)</t>
  </si>
  <si>
    <t>Free% x COGS_free + Paid% x COGS_paid</t>
  </si>
  <si>
    <t>Marketing cost per MAU (% of rev)</t>
  </si>
  <si>
    <t>Net contribution per MAU</t>
  </si>
  <si>
    <t>Revenue - COGS - Marketing per user per month</t>
  </si>
  <si>
    <t>BREAK-EVEN MAU BY HEADCOUNT PHASE</t>
  </si>
  <si>
    <t>Phase 1 monthly payroll (10 FTEs)</t>
  </si>
  <si>
    <t>Phase 1 fixed OpEx (non-marketing)</t>
  </si>
  <si>
    <t>Phase 1 total monthly fixed costs</t>
  </si>
  <si>
    <t>Break-even MAU (Phase 1)</t>
  </si>
  <si>
    <t>Total users needed to cover Phase 1 costs</t>
  </si>
  <si>
    <t>Phase 2 monthly payroll (18 FTEs)</t>
  </si>
  <si>
    <t>Phase 2 fixed OpEx (non-marketing)</t>
  </si>
  <si>
    <t>Phase 2 total monthly fixed costs</t>
  </si>
  <si>
    <t>Break-even MAU (Phase 2)</t>
  </si>
  <si>
    <t>This is the phase when break-even actually occurs</t>
  </si>
  <si>
    <t>Phase 3 monthly payroll (35 FTEs)</t>
  </si>
  <si>
    <t>Phase 3 fixed OpEx (non-marketing)</t>
  </si>
  <si>
    <t>Phase 3 total monthly fixed costs</t>
  </si>
  <si>
    <t>Break-even MAU (Phase 3)</t>
  </si>
  <si>
    <t>MODEL-DERIVED BREAK-EVEN (from 36-month projection)</t>
  </si>
  <si>
    <t>Months with negative op profit</t>
  </si>
  <si>
    <t>First profitable month (#)</t>
  </si>
  <si>
    <t>Month number where operating profit first &gt;= 0</t>
  </si>
  <si>
    <t>MAU at break-even month</t>
  </si>
  <si>
    <t>Actual user count from model at profitability month</t>
  </si>
  <si>
    <t>Paid users at break-even month</t>
  </si>
  <si>
    <t>Paid % at break-even month</t>
  </si>
  <si>
    <t>MRR at break-even month</t>
  </si>
  <si>
    <t>ARR at break-even month</t>
  </si>
  <si>
    <t>POSEIDON.AI — Cash Flow &amp; Funding</t>
  </si>
  <si>
    <t>Burn Rate, Runway, Seed + Series A</t>
  </si>
  <si>
    <t>OPERATING CASH FLOW</t>
  </si>
  <si>
    <t>Revenue</t>
  </si>
  <si>
    <t>Net Burn / (Profit)</t>
  </si>
  <si>
    <t>FUNDING EVENTS</t>
  </si>
  <si>
    <t>Seed Round</t>
  </si>
  <si>
    <t>Series A</t>
  </si>
  <si>
    <t>Total Funding In</t>
  </si>
  <si>
    <t>CASH POSITION</t>
  </si>
  <si>
    <t>Cash — Beginning of Month</t>
  </si>
  <si>
    <t>Cash In (revenue + funding)</t>
  </si>
  <si>
    <t>Cash Out (costs)</t>
  </si>
  <si>
    <t>Net Cash Flow</t>
  </si>
  <si>
    <t>Cash — End of Month</t>
  </si>
  <si>
    <t>RUNWAY &amp; BURN</t>
  </si>
  <si>
    <t>Runway (months at current burn)</t>
  </si>
  <si>
    <t>Cumulative Net Burn</t>
  </si>
  <si>
    <t>POSEIDON.AI — Financial Dashboard</t>
  </si>
  <si>
    <t>Month</t>
  </si>
  <si>
    <t>Paid Users</t>
  </si>
  <si>
    <t>MRR ($)</t>
  </si>
  <si>
    <t>ARR ($)</t>
  </si>
  <si>
    <t>Cash ($)</t>
  </si>
  <si>
    <t>Op Profit ($)</t>
  </si>
  <si>
    <t>NRR (%)</t>
  </si>
  <si>
    <t>POSEIDON.AI — Slide Metrics Calculation Basis</t>
  </si>
  <si>
    <t>All slide figures should be traceable to formulas in this sheet.</t>
  </si>
  <si>
    <t>SLIDE 9: STRATEGY SUMMARY — Business Model Card</t>
  </si>
  <si>
    <t>Model Value</t>
  </si>
  <si>
    <t>Slide Value</t>
  </si>
  <si>
    <t>Match?</t>
  </si>
  <si>
    <t>Formula / Source</t>
  </si>
  <si>
    <t>Gross Margin (at M12)</t>
  </si>
  <si>
    <t>87%</t>
  </si>
  <si>
    <t>MISMATCH</t>
  </si>
  <si>
    <t>Model: ~74.5% at M12. 87% not reached at any month. Slide needs correction.</t>
  </si>
  <si>
    <t>Gross Margin (at M18)</t>
  </si>
  <si>
    <t>REF</t>
  </si>
  <si>
    <t>76.5% at M18. Max in model is 79.3% at M36.</t>
  </si>
  <si>
    <t>Gross Margin (at M36)</t>
  </si>
  <si>
    <t>79.3% at M36. Theoretical max if COGS goes to $0 = 100%.</t>
  </si>
  <si>
    <t>Op. Break-even Month</t>
  </si>
  <si>
    <t>Month 12</t>
  </si>
  <si>
    <t>Model: M10 is first month with positive OpProfit ($27,526). M9 = -$13,272.</t>
  </si>
  <si>
    <t>Value / Cost — Plus (Customer ROI)</t>
  </si>
  <si>
    <t>Value / Cost — Pro (Customer ROI)</t>
  </si>
  <si>
    <t>Value / Cost — Blended (slide uses this)</t>
  </si>
  <si>
    <t>6x</t>
  </si>
  <si>
    <t>~OK</t>
  </si>
  <si>
    <t>Blended = (5.2x * 16% + 7.5x * 6%) / (16% + 6%) = ~5.8x. Slide rounds to 6x.</t>
  </si>
  <si>
    <t>SLIDE 11: BUSINESS MODEL DETAIL</t>
  </si>
  <si>
    <t>17x</t>
  </si>
  <si>
    <t>Model: 10.0x = LTV $108.61 / CAC $10.85. Slide says 17x.</t>
  </si>
  <si>
    <t>77x</t>
  </si>
  <si>
    <t>Model: 51.0x = LTV $553.02 / CAC $10.85. Slide says 77x.</t>
  </si>
  <si>
    <t xml:space="preserve">  LTV — Plus</t>
  </si>
  <si>
    <t xml:space="preserve">  LTV — Pro</t>
  </si>
  <si>
    <t xml:space="preserve">  Blended CAC</t>
  </si>
  <si>
    <t>Contribution Margin — Plus</t>
  </si>
  <si>
    <t>73%</t>
  </si>
  <si>
    <t>OK</t>
  </si>
  <si>
    <t>Contribution Margin — Pro</t>
  </si>
  <si>
    <t>89%</t>
  </si>
  <si>
    <t>Gross Margin (slide label)</t>
  </si>
  <si>
    <t>86%</t>
  </si>
  <si>
    <t>Model Gross Margin at M12 = 74.5%. 86% is not a model output. Possibly confused with Pro contribution margin (89%).</t>
  </si>
  <si>
    <t>Operating Breakeven Month</t>
  </si>
  <si>
    <t>Month 6</t>
  </si>
  <si>
    <t>Model: M10. M9 OpProfit=-$13,272, M10=+$27,526. Month 6 is incorrect.</t>
  </si>
  <si>
    <t>J-CURVE CHART MILESTONES</t>
  </si>
  <si>
    <t>Monthly Breakeven (OpProfit &gt;= 0)</t>
  </si>
  <si>
    <t>Month where Costs!Row23 first &gt;= 0. M10: OpProfit = $27,526.</t>
  </si>
  <si>
    <t xml:space="preserve">  MRR at Breakeven</t>
  </si>
  <si>
    <t>Revenue!Row8 at breakeven month = $420,277</t>
  </si>
  <si>
    <t xml:space="preserve">  ARR at Breakeven</t>
  </si>
  <si>
    <t>Cumulative Payback (CumBurn &gt;= 0)</t>
  </si>
  <si>
    <t>Month where Cash Flow!Row21 (Cumulative Net Burn) first &gt;= 0. M15: +$202,352.</t>
  </si>
  <si>
    <t>Series A Trigger (MRR &gt;= $300K)</t>
  </si>
  <si>
    <t>Month where MRR first &gt;= $300K. M9: MRR = $338,699.</t>
  </si>
  <si>
    <t>M18 ARR</t>
  </si>
  <si>
    <t>M18 Monthly Op Profit</t>
  </si>
  <si>
    <t>Revenue - Total Costs = $576,600/mo</t>
  </si>
  <si>
    <t>MARKET OPPORTUNITY (requires external sources)</t>
  </si>
  <si>
    <t>TAM — US Personal Finance Software</t>
  </si>
  <si>
    <t>$7B</t>
  </si>
  <si>
    <t>VERIFY</t>
  </si>
  <si>
    <t>Source needed. US personal finance software market. Verify with Statista/IBISWorld.</t>
  </si>
  <si>
    <t>SAM — AI-Native Financial Coordination</t>
  </si>
  <si>
    <t>$1.5B</t>
  </si>
  <si>
    <t>Source needed. Subset of TAM for AI-powered coordination tools. Justify % of TAM.</t>
  </si>
  <si>
    <t>3-Year Revenue Capture (from model)</t>
  </si>
  <si>
    <t>$25M</t>
  </si>
  <si>
    <t>Model cumulative revenue M1-M36 = $83.8M. $25M appears to be ~Year 1+partial Year 2.</t>
  </si>
  <si>
    <t xml:space="preserve">  Year 1 Revenue (M1-M12)</t>
  </si>
  <si>
    <t xml:space="preserve">  Year 2 Revenue (M13-M24)</t>
  </si>
  <si>
    <t xml:space="preserve">  Year 3 Revenue (M25-M36)</t>
  </si>
  <si>
    <t>HEADCOUNT &amp; AI LEVERAGE (Subtitle Basis)</t>
  </si>
  <si>
    <t>Traditional team size (industry benchmark)</t>
  </si>
  <si>
    <t>35</t>
  </si>
  <si>
    <t>INPUT</t>
  </si>
  <si>
    <t>Estimate: comparable fintech at this stage typically needs ~35 FTEs. Source: team judgment.</t>
  </si>
  <si>
    <t>Poseidon team size (Phase 2: M7-M18)</t>
  </si>
  <si>
    <t>18</t>
  </si>
  <si>
    <t>Assumptions sheet: Phase 2 headcount. Model says 12 (M7-M18). Slide says 18.</t>
  </si>
  <si>
    <t>Productivity multiplier</t>
  </si>
  <si>
    <t>~2x</t>
  </si>
  <si>
    <t>DISCREPANCY SUMMARY — ACTION REQUIRED</t>
  </si>
  <si>
    <t>Slide / Metric</t>
  </si>
  <si>
    <t>Recommended Action</t>
  </si>
  <si>
    <t>Slide 9: Gross Margin</t>
  </si>
  <si>
    <t>74.5% (M12)</t>
  </si>
  <si>
    <t>Use contribution margin (73%/89%) or correct to model GM. If "at scale" intended, specify M36 = 79.3%.</t>
  </si>
  <si>
    <t>Slide 9: Op. Break-even</t>
  </si>
  <si>
    <t>Month 10</t>
  </si>
  <si>
    <t>M10 is first month with positive OpProfit. Correct slide to Month 10.</t>
  </si>
  <si>
    <t>Slide 9: Value / Cost</t>
  </si>
  <si>
    <t>~5.8x blended</t>
  </si>
  <si>
    <t>Acceptable rounding. Consider showing 5x/8x (Plus/Pro) or ~6x blended.</t>
  </si>
  <si>
    <t>Slide 11: LTV/CAC Plus</t>
  </si>
  <si>
    <t>10.0x</t>
  </si>
  <si>
    <t>Significant. Correct to 10x. Was 17x calculated with different assumptions?</t>
  </si>
  <si>
    <t>Slide 11: LTV/CAC Pro</t>
  </si>
  <si>
    <t>51.0x</t>
  </si>
  <si>
    <t>Significant. Correct to 51x.</t>
  </si>
  <si>
    <t>Slide 11: Gross Margin</t>
  </si>
  <si>
    <t>Same issue as Slide 9. Correct.</t>
  </si>
  <si>
    <t>Slide 11: Op Profitability</t>
  </si>
  <si>
    <t>Significant. M6 OpProfit = -$67,303. Correct to Month 10.</t>
  </si>
  <si>
    <t>Slide 11: 3-Year Capture</t>
  </si>
  <si>
    <t>$83.8M cumulative</t>
  </si>
  <si>
    <t>If $25M is intentional (conservative), document the basis. Model shows $83.8M.</t>
  </si>
  <si>
    <t>Headcount Phase 2</t>
  </si>
  <si>
    <t>18 FTEs</t>
  </si>
  <si>
    <t>12 FTEs (model)</t>
  </si>
  <si>
    <t>Model Assumptions!C47 shows 12 for M7-M18. If 18 is intended, update model.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</si>
</sst>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\$#,##0"/>
    <numFmt numFmtId="165" formatCode="\$#,##0.00"/>
    <numFmt numFmtId="166" formatCode="0.0%"/>
    <numFmt numFmtId="167" formatCode="0.000"/>
    <numFmt numFmtId="168" formatCode="\$#,##0;\(\$#,##0\);&quot;-&quot;"/>
    <numFmt numFmtId="169" formatCode="0.0"/>
    <numFmt numFmtId="170" formatCode="0.0\x"/>
    <numFmt numFmtId="171" formatCode="\$#,##0.000"/>
    <numFmt numFmtId="172" formatCode="0.0&quot;x&quot;"/>
    <numFmt numFmtId="173" formatCode="&quot;M&quot;0"/>
    <numFmt numFmtId="174" formatCode="\$#,##0,,&quot;B&quot;"/>
    <numFmt numFmtId="175" formatCode="\$#,##0,,&quot;M&quot;"/>
  </numFmts>
  <fonts count="20" x14ac:knownFonts="1">
    <font>
      <sz val="11"/>
      <color theme="1"/>
      <name val="Calibri"/>
      <family val="2"/>
      <scheme val="minor"/>
    </font>
    <font>
      <b/>
      <sz val="14"/>
      <color rgb="FF000000"/>
      <name val="Arial"/>
      <family val="2"/>
    </font>
    <font>
      <i/>
      <sz val="10"/>
      <color rgb="FF666666"/>
      <name val="Arial"/>
      <family val="2"/>
    </font>
    <font>
      <b/>
      <sz val="11"/>
      <color rgb="FF000000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9"/>
      <color rgb="FF666666"/>
      <name val="Arial"/>
      <family val="2"/>
    </font>
    <font>
      <i/>
      <sz val="9"/>
      <color rgb="FF888888"/>
      <name val="Arial"/>
      <family val="2"/>
    </font>
    <font>
      <sz val="9"/>
      <color rgb="FF888888"/>
      <name val="Arial"/>
      <family val="2"/>
    </font>
    <font>
      <b/>
      <sz val="10"/>
      <color rgb="FFFFFFFF"/>
      <name val="Arial"/>
      <family val="2"/>
    </font>
    <font>
      <sz val="10"/>
      <color rgb="FF008000"/>
      <name val="Arial"/>
      <family val="2"/>
    </font>
    <font>
      <b/>
      <sz val="11"/>
      <name val="Calibri"/>
      <family val="2"/>
    </font>
    <font>
      <b/>
      <sz val="14"/>
      <color rgb="FF0D9488"/>
      <name val="Arial"/>
      <family val="2"/>
    </font>
    <font>
      <i/>
      <sz val="9"/>
      <color rgb="FF666666"/>
      <name val="Arial"/>
      <family val="2"/>
    </font>
    <font>
      <b/>
      <sz val="11"/>
      <color rgb="FF1E293B"/>
      <name val="Arial"/>
      <family val="2"/>
    </font>
    <font>
      <sz val="10"/>
      <color rgb="FF333333"/>
      <name val="Arial"/>
      <family val="2"/>
    </font>
    <font>
      <b/>
      <sz val="10"/>
      <color rgb="FFFF0000"/>
      <name val="Arial"/>
      <family val="2"/>
    </font>
    <font>
      <b/>
      <sz val="10"/>
      <color rgb="FFD97706"/>
      <name val="Arial"/>
      <family val="2"/>
    </font>
    <font>
      <b/>
      <sz val="10"/>
      <color rgb="FF008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E8F0FE"/>
      </patternFill>
    </fill>
    <fill>
      <patternFill patternType="solid">
        <fgColor rgb="FF0B1221"/>
      </patternFill>
    </fill>
    <fill>
      <patternFill patternType="solid">
        <fgColor rgb="FFE2F0F0"/>
      </patternFill>
    </fill>
    <fill>
      <patternFill patternType="solid">
        <fgColor rgb="FFFFF0F0"/>
      </patternFill>
    </fill>
    <fill>
      <patternFill patternType="solid">
        <fgColor rgb="FFFFFFF0"/>
      </patternFill>
    </fill>
    <fill>
      <patternFill patternType="solid">
        <fgColor rgb="FFF0FFF0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CCCCCC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0" fillId="2" borderId="0" xfId="0" applyFill="1"/>
    <xf numFmtId="0" fontId="4" fillId="0" borderId="1" xfId="0" applyFont="1" applyBorder="1"/>
    <xf numFmtId="0" fontId="5" fillId="0" borderId="0" xfId="0" applyFont="1"/>
    <xf numFmtId="164" fontId="6" fillId="0" borderId="0" xfId="0" applyNumberFormat="1" applyFont="1"/>
    <xf numFmtId="0" fontId="7" fillId="0" borderId="0" xfId="0" applyFont="1"/>
    <xf numFmtId="165" fontId="6" fillId="0" borderId="0" xfId="0" applyNumberFormat="1" applyFont="1"/>
    <xf numFmtId="165" fontId="5" fillId="0" borderId="0" xfId="0" applyNumberFormat="1" applyFont="1"/>
    <xf numFmtId="3" fontId="6" fillId="0" borderId="0" xfId="0" applyNumberFormat="1" applyFont="1"/>
    <xf numFmtId="0" fontId="8" fillId="0" borderId="0" xfId="0" applyFont="1"/>
    <xf numFmtId="166" fontId="6" fillId="0" borderId="0" xfId="0" applyNumberFormat="1" applyFont="1"/>
    <xf numFmtId="10" fontId="6" fillId="0" borderId="0" xfId="0" applyNumberFormat="1" applyFont="1"/>
    <xf numFmtId="167" fontId="6" fillId="0" borderId="0" xfId="0" applyNumberFormat="1" applyFont="1"/>
    <xf numFmtId="0" fontId="9" fillId="0" borderId="0" xfId="0" applyFont="1"/>
    <xf numFmtId="0" fontId="4" fillId="0" borderId="0" xfId="0" applyFont="1"/>
    <xf numFmtId="3" fontId="4" fillId="0" borderId="0" xfId="0" applyNumberFormat="1" applyFont="1"/>
    <xf numFmtId="0" fontId="10" fillId="3" borderId="0" xfId="0" applyFont="1" applyFill="1"/>
    <xf numFmtId="0" fontId="10" fillId="3" borderId="0" xfId="0" applyFont="1" applyFill="1" applyAlignment="1">
      <alignment horizontal="center"/>
    </xf>
    <xf numFmtId="3" fontId="11" fillId="0" borderId="0" xfId="0" applyNumberFormat="1" applyFont="1"/>
    <xf numFmtId="3" fontId="5" fillId="0" borderId="0" xfId="0" applyNumberFormat="1" applyFont="1"/>
    <xf numFmtId="166" fontId="5" fillId="0" borderId="0" xfId="0" applyNumberFormat="1" applyFont="1"/>
    <xf numFmtId="164" fontId="11" fillId="0" borderId="0" xfId="0" applyNumberFormat="1" applyFont="1"/>
    <xf numFmtId="164" fontId="4" fillId="0" borderId="0" xfId="0" applyNumberFormat="1" applyFont="1"/>
    <xf numFmtId="168" fontId="11" fillId="0" borderId="0" xfId="0" applyNumberFormat="1" applyFont="1"/>
    <xf numFmtId="168" fontId="4" fillId="0" borderId="0" xfId="0" applyNumberFormat="1" applyFont="1"/>
    <xf numFmtId="164" fontId="5" fillId="0" borderId="0" xfId="0" applyNumberFormat="1" applyFont="1"/>
    <xf numFmtId="165" fontId="11" fillId="0" borderId="0" xfId="0" applyNumberFormat="1" applyFont="1"/>
    <xf numFmtId="166" fontId="11" fillId="0" borderId="0" xfId="0" applyNumberFormat="1" applyFont="1"/>
    <xf numFmtId="169" fontId="5" fillId="0" borderId="0" xfId="0" applyNumberFormat="1" applyFont="1"/>
    <xf numFmtId="170" fontId="5" fillId="0" borderId="0" xfId="0" applyNumberFormat="1" applyFont="1"/>
    <xf numFmtId="0" fontId="4" fillId="2" borderId="0" xfId="0" applyFont="1" applyFill="1"/>
    <xf numFmtId="0" fontId="5" fillId="2" borderId="0" xfId="0" applyFont="1" applyFill="1"/>
    <xf numFmtId="171" fontId="5" fillId="0" borderId="0" xfId="0" applyNumberFormat="1" applyFont="1"/>
    <xf numFmtId="171" fontId="11" fillId="0" borderId="0" xfId="0" applyNumberFormat="1" applyFont="1"/>
    <xf numFmtId="1" fontId="5" fillId="0" borderId="0" xfId="0" applyNumberFormat="1" applyFont="1"/>
    <xf numFmtId="168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3" fillId="4" borderId="0" xfId="0" applyFont="1" applyFill="1"/>
    <xf numFmtId="0" fontId="0" fillId="4" borderId="0" xfId="0" applyFill="1"/>
    <xf numFmtId="0" fontId="15" fillId="0" borderId="2" xfId="0" applyFont="1" applyBorder="1"/>
    <xf numFmtId="0" fontId="16" fillId="0" borderId="0" xfId="0" applyFont="1"/>
    <xf numFmtId="0" fontId="6" fillId="0" borderId="0" xfId="0" applyFont="1"/>
    <xf numFmtId="0" fontId="17" fillId="5" borderId="0" xfId="0" applyFont="1" applyFill="1"/>
    <xf numFmtId="0" fontId="14" fillId="6" borderId="0" xfId="0" applyFont="1" applyFill="1"/>
    <xf numFmtId="1" fontId="11" fillId="0" borderId="0" xfId="0" applyNumberFormat="1" applyFont="1"/>
    <xf numFmtId="172" fontId="11" fillId="0" borderId="0" xfId="0" applyNumberFormat="1" applyFont="1"/>
    <xf numFmtId="172" fontId="5" fillId="0" borderId="0" xfId="0" applyNumberFormat="1" applyFont="1"/>
    <xf numFmtId="0" fontId="18" fillId="6" borderId="0" xfId="0" applyFont="1" applyFill="1"/>
    <xf numFmtId="0" fontId="19" fillId="7" borderId="0" xfId="0" applyFont="1" applyFill="1"/>
    <xf numFmtId="173" fontId="11" fillId="0" borderId="0" xfId="0" applyNumberFormat="1" applyFont="1"/>
    <xf numFmtId="173" fontId="5" fillId="0" borderId="0" xfId="0" applyNumberFormat="1" applyFont="1"/>
    <xf numFmtId="174" fontId="6" fillId="0" borderId="0" xfId="0" applyNumberFormat="1" applyFont="1"/>
    <xf numFmtId="175" fontId="11" fillId="0" borderId="0" xfId="0" applyNumberFormat="1" applyFont="1"/>
    <xf numFmtId="175" fontId="5" fillId="0" borderId="0" xfId="0" applyNumberFormat="1" applyFont="1"/>
    <xf numFmtId="0" fontId="11" fillId="0" borderId="0" xfId="0" applyFont="1"/>
    <xf numFmtId="0" fontId="17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User Growth (MAU)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Dashboard!$A$4</c:f>
              <c:strCache>
                <c:ptCount val="1"/>
                <c:pt idx="0">
                  <c:v>Total MAU</c:v>
                </c:pt>
              </c:strCache>
            </c:strRef>
          </c:tx>
          <c:spPr>
            <a:ln>
              <a:solidFill>
                <a:srgbClr val="00F0FF"/>
              </a:solidFill>
              <a:prstDash val="solid"/>
            </a:ln>
          </c:spPr>
          <c:marker>
            <c:symbol val="none"/>
          </c:marker>
          <c:cat>
            <c:strRef>
              <c:f>Dashboard!$B$3:$AK$3</c:f>
              <c:strCache>
                <c:ptCount val="36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  <c:pt idx="12">
                  <c:v>M13</c:v>
                </c:pt>
                <c:pt idx="13">
                  <c:v>M14</c:v>
                </c:pt>
                <c:pt idx="14">
                  <c:v>M15</c:v>
                </c:pt>
                <c:pt idx="15">
                  <c:v>M16</c:v>
                </c:pt>
                <c:pt idx="16">
                  <c:v>M17</c:v>
                </c:pt>
                <c:pt idx="17">
                  <c:v>M18</c:v>
                </c:pt>
                <c:pt idx="18">
                  <c:v>M19</c:v>
                </c:pt>
                <c:pt idx="19">
                  <c:v>M20</c:v>
                </c:pt>
                <c:pt idx="20">
                  <c:v>M21</c:v>
                </c:pt>
                <c:pt idx="21">
                  <c:v>M22</c:v>
                </c:pt>
                <c:pt idx="22">
                  <c:v>M23</c:v>
                </c:pt>
                <c:pt idx="23">
                  <c:v>M24</c:v>
                </c:pt>
                <c:pt idx="24">
                  <c:v>M25</c:v>
                </c:pt>
                <c:pt idx="25">
                  <c:v>M26</c:v>
                </c:pt>
                <c:pt idx="26">
                  <c:v>M27</c:v>
                </c:pt>
                <c:pt idx="27">
                  <c:v>M28</c:v>
                </c:pt>
                <c:pt idx="28">
                  <c:v>M29</c:v>
                </c:pt>
                <c:pt idx="29">
                  <c:v>M30</c:v>
                </c:pt>
                <c:pt idx="30">
                  <c:v>M31</c:v>
                </c:pt>
                <c:pt idx="31">
                  <c:v>M32</c:v>
                </c:pt>
                <c:pt idx="32">
                  <c:v>M33</c:v>
                </c:pt>
                <c:pt idx="33">
                  <c:v>M34</c:v>
                </c:pt>
                <c:pt idx="34">
                  <c:v>M35</c:v>
                </c:pt>
                <c:pt idx="35">
                  <c:v>M36</c:v>
                </c:pt>
              </c:strCache>
            </c:strRef>
          </c:cat>
          <c:val>
            <c:numRef>
              <c:f>Dashboard!$B$4:$AK$4</c:f>
              <c:numCache>
                <c:formatCode>#,##0</c:formatCode>
                <c:ptCount val="36"/>
                <c:pt idx="0">
                  <c:v>15606</c:v>
                </c:pt>
                <c:pt idx="1">
                  <c:v>32768</c:v>
                </c:pt>
                <c:pt idx="2">
                  <c:v>51602</c:v>
                </c:pt>
                <c:pt idx="3">
                  <c:v>72218</c:v>
                </c:pt>
                <c:pt idx="4">
                  <c:v>94724</c:v>
                </c:pt>
                <c:pt idx="5">
                  <c:v>119228</c:v>
                </c:pt>
                <c:pt idx="6">
                  <c:v>145832</c:v>
                </c:pt>
                <c:pt idx="7">
                  <c:v>174633</c:v>
                </c:pt>
                <c:pt idx="8">
                  <c:v>205723</c:v>
                </c:pt>
                <c:pt idx="9">
                  <c:v>239190</c:v>
                </c:pt>
                <c:pt idx="10">
                  <c:v>275119</c:v>
                </c:pt>
                <c:pt idx="11">
                  <c:v>313588</c:v>
                </c:pt>
                <c:pt idx="12">
                  <c:v>354668</c:v>
                </c:pt>
                <c:pt idx="13">
                  <c:v>398427</c:v>
                </c:pt>
                <c:pt idx="14">
                  <c:v>444926</c:v>
                </c:pt>
                <c:pt idx="15">
                  <c:v>494220</c:v>
                </c:pt>
                <c:pt idx="16">
                  <c:v>546359</c:v>
                </c:pt>
                <c:pt idx="17">
                  <c:v>601389</c:v>
                </c:pt>
                <c:pt idx="18">
                  <c:v>659348</c:v>
                </c:pt>
                <c:pt idx="19">
                  <c:v>720268</c:v>
                </c:pt>
                <c:pt idx="20">
                  <c:v>784179</c:v>
                </c:pt>
                <c:pt idx="21">
                  <c:v>851104</c:v>
                </c:pt>
                <c:pt idx="22">
                  <c:v>921062</c:v>
                </c:pt>
                <c:pt idx="23">
                  <c:v>994068</c:v>
                </c:pt>
                <c:pt idx="24">
                  <c:v>1070132</c:v>
                </c:pt>
                <c:pt idx="25">
                  <c:v>1149264</c:v>
                </c:pt>
                <c:pt idx="26">
                  <c:v>1231464</c:v>
                </c:pt>
                <c:pt idx="27">
                  <c:v>1316733</c:v>
                </c:pt>
                <c:pt idx="28">
                  <c:v>1405066</c:v>
                </c:pt>
                <c:pt idx="29">
                  <c:v>1496459</c:v>
                </c:pt>
                <c:pt idx="30">
                  <c:v>1590905</c:v>
                </c:pt>
                <c:pt idx="31">
                  <c:v>1688393</c:v>
                </c:pt>
                <c:pt idx="32">
                  <c:v>1788911</c:v>
                </c:pt>
                <c:pt idx="33">
                  <c:v>1892446</c:v>
                </c:pt>
                <c:pt idx="34">
                  <c:v>1998984</c:v>
                </c:pt>
                <c:pt idx="35">
                  <c:v>2108510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EC4-D448-AEB4-DDE5BEECB052}"/>
            </c:ext>
          </c:extLst>
        </c:ser>
        <c:ser>
          <c:idx val="1"/>
          <c:order val="1"/>
          <c:tx>
            <c:strRef>
              <c:f>Dashboard!$A$5</c:f>
              <c:strCache>
                <c:ptCount val="1"/>
                <c:pt idx="0">
                  <c:v>Paid Users</c:v>
                </c:pt>
              </c:strCache>
            </c:strRef>
          </c:tx>
          <c:spPr>
            <a:ln>
              <a:solidFill>
                <a:srgbClr val="8B5CF6"/>
              </a:solidFill>
              <a:prstDash val="solid"/>
            </a:ln>
          </c:spPr>
          <c:marker>
            <c:symbol val="none"/>
          </c:marker>
          <c:cat>
            <c:strRef>
              <c:f>Dashboard!$B$3:$AK$3</c:f>
              <c:strCache>
                <c:ptCount val="36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  <c:pt idx="12">
                  <c:v>M13</c:v>
                </c:pt>
                <c:pt idx="13">
                  <c:v>M14</c:v>
                </c:pt>
                <c:pt idx="14">
                  <c:v>M15</c:v>
                </c:pt>
                <c:pt idx="15">
                  <c:v>M16</c:v>
                </c:pt>
                <c:pt idx="16">
                  <c:v>M17</c:v>
                </c:pt>
                <c:pt idx="17">
                  <c:v>M18</c:v>
                </c:pt>
                <c:pt idx="18">
                  <c:v>M19</c:v>
                </c:pt>
                <c:pt idx="19">
                  <c:v>M20</c:v>
                </c:pt>
                <c:pt idx="20">
                  <c:v>M21</c:v>
                </c:pt>
                <c:pt idx="21">
                  <c:v>M22</c:v>
                </c:pt>
                <c:pt idx="22">
                  <c:v>M23</c:v>
                </c:pt>
                <c:pt idx="23">
                  <c:v>M24</c:v>
                </c:pt>
                <c:pt idx="24">
                  <c:v>M25</c:v>
                </c:pt>
                <c:pt idx="25">
                  <c:v>M26</c:v>
                </c:pt>
                <c:pt idx="26">
                  <c:v>M27</c:v>
                </c:pt>
                <c:pt idx="27">
                  <c:v>M28</c:v>
                </c:pt>
                <c:pt idx="28">
                  <c:v>M29</c:v>
                </c:pt>
                <c:pt idx="29">
                  <c:v>M30</c:v>
                </c:pt>
                <c:pt idx="30">
                  <c:v>M31</c:v>
                </c:pt>
                <c:pt idx="31">
                  <c:v>M32</c:v>
                </c:pt>
                <c:pt idx="32">
                  <c:v>M33</c:v>
                </c:pt>
                <c:pt idx="33">
                  <c:v>M34</c:v>
                </c:pt>
                <c:pt idx="34">
                  <c:v>M35</c:v>
                </c:pt>
                <c:pt idx="35">
                  <c:v>M36</c:v>
                </c:pt>
              </c:strCache>
            </c:strRef>
          </c:cat>
          <c:val>
            <c:numRef>
              <c:f>Dashboard!$B$5:$AK$5</c:f>
              <c:numCache>
                <c:formatCode>#,##0</c:formatCode>
                <c:ptCount val="36"/>
                <c:pt idx="0">
                  <c:v>697</c:v>
                </c:pt>
                <c:pt idx="1">
                  <c:v>2098</c:v>
                </c:pt>
                <c:pt idx="2">
                  <c:v>4216</c:v>
                </c:pt>
                <c:pt idx="3">
                  <c:v>7066</c:v>
                </c:pt>
                <c:pt idx="4">
                  <c:v>10670</c:v>
                </c:pt>
                <c:pt idx="5">
                  <c:v>15049</c:v>
                </c:pt>
                <c:pt idx="6">
                  <c:v>20232</c:v>
                </c:pt>
                <c:pt idx="7">
                  <c:v>26245</c:v>
                </c:pt>
                <c:pt idx="8">
                  <c:v>33117</c:v>
                </c:pt>
                <c:pt idx="9">
                  <c:v>40880</c:v>
                </c:pt>
                <c:pt idx="10">
                  <c:v>49567</c:v>
                </c:pt>
                <c:pt idx="11">
                  <c:v>59213</c:v>
                </c:pt>
                <c:pt idx="12">
                  <c:v>69851</c:v>
                </c:pt>
                <c:pt idx="13">
                  <c:v>81516</c:v>
                </c:pt>
                <c:pt idx="14">
                  <c:v>94240</c:v>
                </c:pt>
                <c:pt idx="15">
                  <c:v>108058</c:v>
                </c:pt>
                <c:pt idx="16">
                  <c:v>123002</c:v>
                </c:pt>
                <c:pt idx="17">
                  <c:v>139106</c:v>
                </c:pt>
                <c:pt idx="18">
                  <c:v>156401</c:v>
                </c:pt>
                <c:pt idx="19">
                  <c:v>174916</c:v>
                </c:pt>
                <c:pt idx="20">
                  <c:v>194682</c:v>
                </c:pt>
                <c:pt idx="21">
                  <c:v>215726</c:v>
                </c:pt>
                <c:pt idx="22">
                  <c:v>238075</c:v>
                </c:pt>
                <c:pt idx="23">
                  <c:v>261755</c:v>
                </c:pt>
                <c:pt idx="24">
                  <c:v>286787</c:v>
                </c:pt>
                <c:pt idx="25">
                  <c:v>313195</c:v>
                </c:pt>
                <c:pt idx="26">
                  <c:v>340998</c:v>
                </c:pt>
                <c:pt idx="27">
                  <c:v>370215</c:v>
                </c:pt>
                <c:pt idx="28">
                  <c:v>400863</c:v>
                </c:pt>
                <c:pt idx="29">
                  <c:v>432958</c:v>
                </c:pt>
                <c:pt idx="30">
                  <c:v>466514</c:v>
                </c:pt>
                <c:pt idx="31">
                  <c:v>501543</c:v>
                </c:pt>
                <c:pt idx="32">
                  <c:v>538056</c:v>
                </c:pt>
                <c:pt idx="33">
                  <c:v>576063</c:v>
                </c:pt>
                <c:pt idx="34">
                  <c:v>615572</c:v>
                </c:pt>
                <c:pt idx="35">
                  <c:v>656591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EC4-D448-AEB4-DDE5BEECB0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Month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Users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MRR &amp; ARR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Dashboard!$A$6</c:f>
              <c:strCache>
                <c:ptCount val="1"/>
                <c:pt idx="0">
                  <c:v>MRR ($)</c:v>
                </c:pt>
              </c:strCache>
            </c:strRef>
          </c:tx>
          <c:spPr>
            <a:ln>
              <a:solidFill>
                <a:srgbClr val="14B8A6"/>
              </a:solidFill>
              <a:prstDash val="solid"/>
            </a:ln>
          </c:spPr>
          <c:marker>
            <c:symbol val="none"/>
          </c:marker>
          <c:cat>
            <c:strRef>
              <c:f>Dashboard!$B$3:$AK$3</c:f>
              <c:strCache>
                <c:ptCount val="36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  <c:pt idx="12">
                  <c:v>M13</c:v>
                </c:pt>
                <c:pt idx="13">
                  <c:v>M14</c:v>
                </c:pt>
                <c:pt idx="14">
                  <c:v>M15</c:v>
                </c:pt>
                <c:pt idx="15">
                  <c:v>M16</c:v>
                </c:pt>
                <c:pt idx="16">
                  <c:v>M17</c:v>
                </c:pt>
                <c:pt idx="17">
                  <c:v>M18</c:v>
                </c:pt>
                <c:pt idx="18">
                  <c:v>M19</c:v>
                </c:pt>
                <c:pt idx="19">
                  <c:v>M20</c:v>
                </c:pt>
                <c:pt idx="20">
                  <c:v>M21</c:v>
                </c:pt>
                <c:pt idx="21">
                  <c:v>M22</c:v>
                </c:pt>
                <c:pt idx="22">
                  <c:v>M23</c:v>
                </c:pt>
                <c:pt idx="23">
                  <c:v>M24</c:v>
                </c:pt>
                <c:pt idx="24">
                  <c:v>M25</c:v>
                </c:pt>
                <c:pt idx="25">
                  <c:v>M26</c:v>
                </c:pt>
                <c:pt idx="26">
                  <c:v>M27</c:v>
                </c:pt>
                <c:pt idx="27">
                  <c:v>M28</c:v>
                </c:pt>
                <c:pt idx="28">
                  <c:v>M29</c:v>
                </c:pt>
                <c:pt idx="29">
                  <c:v>M30</c:v>
                </c:pt>
                <c:pt idx="30">
                  <c:v>M31</c:v>
                </c:pt>
                <c:pt idx="31">
                  <c:v>M32</c:v>
                </c:pt>
                <c:pt idx="32">
                  <c:v>M33</c:v>
                </c:pt>
                <c:pt idx="33">
                  <c:v>M34</c:v>
                </c:pt>
                <c:pt idx="34">
                  <c:v>M35</c:v>
                </c:pt>
                <c:pt idx="35">
                  <c:v>M36</c:v>
                </c:pt>
              </c:strCache>
            </c:strRef>
          </c:cat>
          <c:val>
            <c:numRef>
              <c:f>Dashboard!$B$6:$AK$6</c:f>
              <c:numCache>
                <c:formatCode>\$#,##0</c:formatCode>
                <c:ptCount val="36"/>
                <c:pt idx="0">
                  <c:v>6786.2379000000001</c:v>
                </c:pt>
                <c:pt idx="1">
                  <c:v>20566.9686</c:v>
                </c:pt>
                <c:pt idx="2">
                  <c:v>41606.191200000001</c:v>
                </c:pt>
                <c:pt idx="3">
                  <c:v>70182.766199999998</c:v>
                </c:pt>
                <c:pt idx="4">
                  <c:v>106649.889</c:v>
                </c:pt>
                <c:pt idx="5">
                  <c:v>151331.00429999997</c:v>
                </c:pt>
                <c:pt idx="6">
                  <c:v>204642.48239999998</c:v>
                </c:pt>
                <c:pt idx="7">
                  <c:v>266967.2415</c:v>
                </c:pt>
                <c:pt idx="8">
                  <c:v>338699.33189999999</c:v>
                </c:pt>
                <c:pt idx="9">
                  <c:v>420277.41599999997</c:v>
                </c:pt>
                <c:pt idx="10">
                  <c:v>512136.42689999996</c:v>
                </c:pt>
                <c:pt idx="11">
                  <c:v>614759.63910000003</c:v>
                </c:pt>
                <c:pt idx="12">
                  <c:v>728570.82569999993</c:v>
                </c:pt>
                <c:pt idx="13">
                  <c:v>854053.26119999995</c:v>
                </c:pt>
                <c:pt idx="14">
                  <c:v>991645.60800000001</c:v>
                </c:pt>
                <c:pt idx="15">
                  <c:v>1141808.8205999997</c:v>
                </c:pt>
                <c:pt idx="16">
                  <c:v>1304970.4013999999</c:v>
                </c:pt>
                <c:pt idx="17">
                  <c:v>1481595.0342000001</c:v>
                </c:pt>
                <c:pt idx="18">
                  <c:v>1672113.9506999999</c:v>
                </c:pt>
                <c:pt idx="19">
                  <c:v>1876921.2012</c:v>
                </c:pt>
                <c:pt idx="20">
                  <c:v>2096448.0174</c:v>
                </c:pt>
                <c:pt idx="21">
                  <c:v>2331095.9081999995</c:v>
                </c:pt>
                <c:pt idx="22">
                  <c:v>2581244.0625</c:v>
                </c:pt>
                <c:pt idx="23">
                  <c:v>2847275.3984999997</c:v>
                </c:pt>
                <c:pt idx="24">
                  <c:v>3129502.2008999996</c:v>
                </c:pt>
                <c:pt idx="25">
                  <c:v>3428292.5264999997</c:v>
                </c:pt>
                <c:pt idx="26">
                  <c:v>3743932.6385999997</c:v>
                </c:pt>
                <c:pt idx="27">
                  <c:v>4076731.1205000002</c:v>
                </c:pt>
                <c:pt idx="28">
                  <c:v>4426959.3740999997</c:v>
                </c:pt>
                <c:pt idx="29">
                  <c:v>4794903.6906000003</c:v>
                </c:pt>
                <c:pt idx="30">
                  <c:v>5180790.8597999997</c:v>
                </c:pt>
                <c:pt idx="31">
                  <c:v>5584843.9700999996</c:v>
                </c:pt>
                <c:pt idx="32">
                  <c:v>6007278.6791999992</c:v>
                </c:pt>
                <c:pt idx="33">
                  <c:v>6448292.0540999994</c:v>
                </c:pt>
                <c:pt idx="34">
                  <c:v>6908066.3004000001</c:v>
                </c:pt>
                <c:pt idx="35">
                  <c:v>7386761.3037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CD5-C647-ADCB-3788C9A73E58}"/>
            </c:ext>
          </c:extLst>
        </c:ser>
        <c:ser>
          <c:idx val="1"/>
          <c:order val="1"/>
          <c:tx>
            <c:strRef>
              <c:f>Dashboard!$A$7</c:f>
              <c:strCache>
                <c:ptCount val="1"/>
                <c:pt idx="0">
                  <c:v>ARR ($)</c:v>
                </c:pt>
              </c:strCache>
            </c:strRef>
          </c:tx>
          <c:spPr>
            <a:ln>
              <a:solidFill>
                <a:srgbClr val="8B5CF6"/>
              </a:solidFill>
              <a:prstDash val="solid"/>
            </a:ln>
          </c:spPr>
          <c:marker>
            <c:symbol val="none"/>
          </c:marker>
          <c:cat>
            <c:strRef>
              <c:f>Dashboard!$B$3:$AK$3</c:f>
              <c:strCache>
                <c:ptCount val="36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  <c:pt idx="12">
                  <c:v>M13</c:v>
                </c:pt>
                <c:pt idx="13">
                  <c:v>M14</c:v>
                </c:pt>
                <c:pt idx="14">
                  <c:v>M15</c:v>
                </c:pt>
                <c:pt idx="15">
                  <c:v>M16</c:v>
                </c:pt>
                <c:pt idx="16">
                  <c:v>M17</c:v>
                </c:pt>
                <c:pt idx="17">
                  <c:v>M18</c:v>
                </c:pt>
                <c:pt idx="18">
                  <c:v>M19</c:v>
                </c:pt>
                <c:pt idx="19">
                  <c:v>M20</c:v>
                </c:pt>
                <c:pt idx="20">
                  <c:v>M21</c:v>
                </c:pt>
                <c:pt idx="21">
                  <c:v>M22</c:v>
                </c:pt>
                <c:pt idx="22">
                  <c:v>M23</c:v>
                </c:pt>
                <c:pt idx="23">
                  <c:v>M24</c:v>
                </c:pt>
                <c:pt idx="24">
                  <c:v>M25</c:v>
                </c:pt>
                <c:pt idx="25">
                  <c:v>M26</c:v>
                </c:pt>
                <c:pt idx="26">
                  <c:v>M27</c:v>
                </c:pt>
                <c:pt idx="27">
                  <c:v>M28</c:v>
                </c:pt>
                <c:pt idx="28">
                  <c:v>M29</c:v>
                </c:pt>
                <c:pt idx="29">
                  <c:v>M30</c:v>
                </c:pt>
                <c:pt idx="30">
                  <c:v>M31</c:v>
                </c:pt>
                <c:pt idx="31">
                  <c:v>M32</c:v>
                </c:pt>
                <c:pt idx="32">
                  <c:v>M33</c:v>
                </c:pt>
                <c:pt idx="33">
                  <c:v>M34</c:v>
                </c:pt>
                <c:pt idx="34">
                  <c:v>M35</c:v>
                </c:pt>
                <c:pt idx="35">
                  <c:v>M36</c:v>
                </c:pt>
              </c:strCache>
            </c:strRef>
          </c:cat>
          <c:val>
            <c:numRef>
              <c:f>Dashboard!$B$7:$AK$7</c:f>
              <c:numCache>
                <c:formatCode>\$#,##0</c:formatCode>
                <c:ptCount val="36"/>
                <c:pt idx="0">
                  <c:v>81434.854800000001</c:v>
                </c:pt>
                <c:pt idx="1">
                  <c:v>246803.6232</c:v>
                </c:pt>
                <c:pt idx="2">
                  <c:v>499274.29440000001</c:v>
                </c:pt>
                <c:pt idx="3">
                  <c:v>842193.19439999992</c:v>
                </c:pt>
                <c:pt idx="4">
                  <c:v>1279798.6680000001</c:v>
                </c:pt>
                <c:pt idx="5">
                  <c:v>1815972.0515999997</c:v>
                </c:pt>
                <c:pt idx="6">
                  <c:v>2455709.7887999997</c:v>
                </c:pt>
                <c:pt idx="7">
                  <c:v>3203606.898</c:v>
                </c:pt>
                <c:pt idx="8">
                  <c:v>4064391.9827999999</c:v>
                </c:pt>
                <c:pt idx="9">
                  <c:v>5043328.9919999996</c:v>
                </c:pt>
                <c:pt idx="10">
                  <c:v>6145637.1228</c:v>
                </c:pt>
                <c:pt idx="11">
                  <c:v>7377115.6692000004</c:v>
                </c:pt>
                <c:pt idx="12">
                  <c:v>8742849.9083999991</c:v>
                </c:pt>
                <c:pt idx="13">
                  <c:v>10248639.134399999</c:v>
                </c:pt>
                <c:pt idx="14">
                  <c:v>11899747.296</c:v>
                </c:pt>
                <c:pt idx="15">
                  <c:v>13701705.847199997</c:v>
                </c:pt>
                <c:pt idx="16">
                  <c:v>15659644.816799998</c:v>
                </c:pt>
                <c:pt idx="17">
                  <c:v>17779140.410400003</c:v>
                </c:pt>
                <c:pt idx="18">
                  <c:v>20065367.408399999</c:v>
                </c:pt>
                <c:pt idx="19">
                  <c:v>22523054.4144</c:v>
                </c:pt>
                <c:pt idx="20">
                  <c:v>25157376.208799999</c:v>
                </c:pt>
                <c:pt idx="21">
                  <c:v>27973150.898399994</c:v>
                </c:pt>
                <c:pt idx="22">
                  <c:v>30974928.75</c:v>
                </c:pt>
                <c:pt idx="23">
                  <c:v>34167304.781999998</c:v>
                </c:pt>
                <c:pt idx="24">
                  <c:v>37554026.410799995</c:v>
                </c:pt>
                <c:pt idx="25">
                  <c:v>41139510.317999996</c:v>
                </c:pt>
                <c:pt idx="26">
                  <c:v>44927191.663199998</c:v>
                </c:pt>
                <c:pt idx="27">
                  <c:v>48920773.446000002</c:v>
                </c:pt>
                <c:pt idx="28">
                  <c:v>53123512.489199996</c:v>
                </c:pt>
                <c:pt idx="29">
                  <c:v>57538844.287200004</c:v>
                </c:pt>
                <c:pt idx="30">
                  <c:v>62169490.317599997</c:v>
                </c:pt>
                <c:pt idx="31">
                  <c:v>67018127.641199991</c:v>
                </c:pt>
                <c:pt idx="32">
                  <c:v>72087344.150399983</c:v>
                </c:pt>
                <c:pt idx="33">
                  <c:v>77379504.649199992</c:v>
                </c:pt>
                <c:pt idx="34">
                  <c:v>82896795.604800001</c:v>
                </c:pt>
                <c:pt idx="35">
                  <c:v>88641135.644400001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9CD5-C647-ADCB-3788C9A73E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Dollars ($)</a:t>
                </a:r>
              </a:p>
            </c:rich>
          </c:tx>
          <c:overlay val="1"/>
        </c:title>
        <c:numFmt formatCode="\$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Cash Position &amp; Operating Profit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Dashboard!$A$8</c:f>
              <c:strCache>
                <c:ptCount val="1"/>
                <c:pt idx="0">
                  <c:v>Cash ($)</c:v>
                </c:pt>
              </c:strCache>
            </c:strRef>
          </c:tx>
          <c:spPr>
            <a:ln>
              <a:solidFill>
                <a:srgbClr val="3B82F6"/>
              </a:solidFill>
              <a:prstDash val="solid"/>
            </a:ln>
          </c:spPr>
          <c:marker>
            <c:symbol val="none"/>
          </c:marker>
          <c:cat>
            <c:strRef>
              <c:f>Dashboard!$B$3:$AK$3</c:f>
              <c:strCache>
                <c:ptCount val="36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  <c:pt idx="12">
                  <c:v>M13</c:v>
                </c:pt>
                <c:pt idx="13">
                  <c:v>M14</c:v>
                </c:pt>
                <c:pt idx="14">
                  <c:v>M15</c:v>
                </c:pt>
                <c:pt idx="15">
                  <c:v>M16</c:v>
                </c:pt>
                <c:pt idx="16">
                  <c:v>M17</c:v>
                </c:pt>
                <c:pt idx="17">
                  <c:v>M18</c:v>
                </c:pt>
                <c:pt idx="18">
                  <c:v>M19</c:v>
                </c:pt>
                <c:pt idx="19">
                  <c:v>M20</c:v>
                </c:pt>
                <c:pt idx="20">
                  <c:v>M21</c:v>
                </c:pt>
                <c:pt idx="21">
                  <c:v>M22</c:v>
                </c:pt>
                <c:pt idx="22">
                  <c:v>M23</c:v>
                </c:pt>
                <c:pt idx="23">
                  <c:v>M24</c:v>
                </c:pt>
                <c:pt idx="24">
                  <c:v>M25</c:v>
                </c:pt>
                <c:pt idx="25">
                  <c:v>M26</c:v>
                </c:pt>
                <c:pt idx="26">
                  <c:v>M27</c:v>
                </c:pt>
                <c:pt idx="27">
                  <c:v>M28</c:v>
                </c:pt>
                <c:pt idx="28">
                  <c:v>M29</c:v>
                </c:pt>
                <c:pt idx="29">
                  <c:v>M30</c:v>
                </c:pt>
                <c:pt idx="30">
                  <c:v>M31</c:v>
                </c:pt>
                <c:pt idx="31">
                  <c:v>M32</c:v>
                </c:pt>
                <c:pt idx="32">
                  <c:v>M33</c:v>
                </c:pt>
                <c:pt idx="33">
                  <c:v>M34</c:v>
                </c:pt>
                <c:pt idx="34">
                  <c:v>M35</c:v>
                </c:pt>
                <c:pt idx="35">
                  <c:v>M36</c:v>
                </c:pt>
              </c:strCache>
            </c:strRef>
          </c:cat>
          <c:val>
            <c:numRef>
              <c:f>Dashboard!$B$8:$AK$8</c:f>
              <c:numCache>
                <c:formatCode>\$#,##0</c:formatCode>
                <c:ptCount val="36"/>
                <c:pt idx="0">
                  <c:v>4866187.7078999998</c:v>
                </c:pt>
                <c:pt idx="1">
                  <c:v>4740333.3943499997</c:v>
                </c:pt>
                <c:pt idx="2">
                  <c:v>4622950.0777500002</c:v>
                </c:pt>
                <c:pt idx="3">
                  <c:v>4518015.8124000002</c:v>
                </c:pt>
                <c:pt idx="4">
                  <c:v>4429713.4091499997</c:v>
                </c:pt>
                <c:pt idx="5">
                  <c:v>4362409.9723749999</c:v>
                </c:pt>
                <c:pt idx="6">
                  <c:v>4283212.874175</c:v>
                </c:pt>
                <c:pt idx="7">
                  <c:v>4234451.1152999997</c:v>
                </c:pt>
                <c:pt idx="8">
                  <c:v>24221179.024225</c:v>
                </c:pt>
                <c:pt idx="9">
                  <c:v>24248704.886225</c:v>
                </c:pt>
                <c:pt idx="10">
                  <c:v>24322586.836399999</c:v>
                </c:pt>
                <c:pt idx="11">
                  <c:v>24448666.675724998</c:v>
                </c:pt>
                <c:pt idx="12">
                  <c:v>24633030.204999998</c:v>
                </c:pt>
                <c:pt idx="13">
                  <c:v>24882048.690899998</c:v>
                </c:pt>
                <c:pt idx="14">
                  <c:v>25202352.216899998</c:v>
                </c:pt>
                <c:pt idx="15">
                  <c:v>25600841.932349999</c:v>
                </c:pt>
                <c:pt idx="16">
                  <c:v>26084671.413399998</c:v>
                </c:pt>
                <c:pt idx="17">
                  <c:v>26661271.569049999</c:v>
                </c:pt>
                <c:pt idx="18">
                  <c:v>27263332.542075001</c:v>
                </c:pt>
                <c:pt idx="19">
                  <c:v>27973780.602975</c:v>
                </c:pt>
                <c:pt idx="20">
                  <c:v>28800802.696024999</c:v>
                </c:pt>
                <c:pt idx="21">
                  <c:v>29752832.807174999</c:v>
                </c:pt>
                <c:pt idx="22">
                  <c:v>30838535.944049999</c:v>
                </c:pt>
                <c:pt idx="23">
                  <c:v>32066813.502924997</c:v>
                </c:pt>
                <c:pt idx="24">
                  <c:v>33446760.443599999</c:v>
                </c:pt>
                <c:pt idx="25">
                  <c:v>34987701.568475001</c:v>
                </c:pt>
                <c:pt idx="26">
                  <c:v>36699141.227425002</c:v>
                </c:pt>
                <c:pt idx="27">
                  <c:v>38590779.877800003</c:v>
                </c:pt>
                <c:pt idx="28">
                  <c:v>40672490.978375003</c:v>
                </c:pt>
                <c:pt idx="29">
                  <c:v>42954333.826324999</c:v>
                </c:pt>
                <c:pt idx="30">
                  <c:v>45446513.171175003</c:v>
                </c:pt>
                <c:pt idx="31">
                  <c:v>48159380.858750001</c:v>
                </c:pt>
                <c:pt idx="32">
                  <c:v>51103432.288149998</c:v>
                </c:pt>
                <c:pt idx="33">
                  <c:v>54289294.498724997</c:v>
                </c:pt>
                <c:pt idx="34">
                  <c:v>57727718.904024996</c:v>
                </c:pt>
                <c:pt idx="35">
                  <c:v>61429564.731799997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AC4-A648-BD31-329140FE561A}"/>
            </c:ext>
          </c:extLst>
        </c:ser>
        <c:ser>
          <c:idx val="1"/>
          <c:order val="1"/>
          <c:tx>
            <c:strRef>
              <c:f>Dashboard!$A$9</c:f>
              <c:strCache>
                <c:ptCount val="1"/>
                <c:pt idx="0">
                  <c:v>Op Profit ($)</c:v>
                </c:pt>
              </c:strCache>
            </c:strRef>
          </c:tx>
          <c:spPr>
            <a:ln>
              <a:solidFill>
                <a:srgbClr val="EF4444"/>
              </a:solidFill>
              <a:prstDash val="solid"/>
            </a:ln>
          </c:spPr>
          <c:marker>
            <c:symbol val="none"/>
          </c:marker>
          <c:cat>
            <c:strRef>
              <c:f>Dashboard!$B$3:$AK$3</c:f>
              <c:strCache>
                <c:ptCount val="36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  <c:pt idx="12">
                  <c:v>M13</c:v>
                </c:pt>
                <c:pt idx="13">
                  <c:v>M14</c:v>
                </c:pt>
                <c:pt idx="14">
                  <c:v>M15</c:v>
                </c:pt>
                <c:pt idx="15">
                  <c:v>M16</c:v>
                </c:pt>
                <c:pt idx="16">
                  <c:v>M17</c:v>
                </c:pt>
                <c:pt idx="17">
                  <c:v>M18</c:v>
                </c:pt>
                <c:pt idx="18">
                  <c:v>M19</c:v>
                </c:pt>
                <c:pt idx="19">
                  <c:v>M20</c:v>
                </c:pt>
                <c:pt idx="20">
                  <c:v>M21</c:v>
                </c:pt>
                <c:pt idx="21">
                  <c:v>M22</c:v>
                </c:pt>
                <c:pt idx="22">
                  <c:v>M23</c:v>
                </c:pt>
                <c:pt idx="23">
                  <c:v>M24</c:v>
                </c:pt>
                <c:pt idx="24">
                  <c:v>M25</c:v>
                </c:pt>
                <c:pt idx="25">
                  <c:v>M26</c:v>
                </c:pt>
                <c:pt idx="26">
                  <c:v>M27</c:v>
                </c:pt>
                <c:pt idx="27">
                  <c:v>M28</c:v>
                </c:pt>
                <c:pt idx="28">
                  <c:v>M29</c:v>
                </c:pt>
                <c:pt idx="29">
                  <c:v>M30</c:v>
                </c:pt>
                <c:pt idx="30">
                  <c:v>M31</c:v>
                </c:pt>
                <c:pt idx="31">
                  <c:v>M32</c:v>
                </c:pt>
                <c:pt idx="32">
                  <c:v>M33</c:v>
                </c:pt>
                <c:pt idx="33">
                  <c:v>M34</c:v>
                </c:pt>
                <c:pt idx="34">
                  <c:v>M35</c:v>
                </c:pt>
                <c:pt idx="35">
                  <c:v>M36</c:v>
                </c:pt>
              </c:strCache>
            </c:strRef>
          </c:cat>
          <c:val>
            <c:numRef>
              <c:f>Dashboard!$B$9:$AK$9</c:f>
              <c:numCache>
                <c:formatCode>\$#,##0;\(\$#,##0\);"-"</c:formatCode>
                <c:ptCount val="36"/>
                <c:pt idx="0">
                  <c:v>-133812.29209999999</c:v>
                </c:pt>
                <c:pt idx="1">
                  <c:v>-125854.31355000002</c:v>
                </c:pt>
                <c:pt idx="2">
                  <c:v>-117383.31659999999</c:v>
                </c:pt>
                <c:pt idx="3">
                  <c:v>-104934.26534999999</c:v>
                </c:pt>
                <c:pt idx="4">
                  <c:v>-88302.403250000003</c:v>
                </c:pt>
                <c:pt idx="5">
                  <c:v>-67303.436775000038</c:v>
                </c:pt>
                <c:pt idx="6">
                  <c:v>-79197.098200000008</c:v>
                </c:pt>
                <c:pt idx="7">
                  <c:v>-48761.758875</c:v>
                </c:pt>
                <c:pt idx="8">
                  <c:v>-13272.091075000004</c:v>
                </c:pt>
                <c:pt idx="9">
                  <c:v>27525.861999999965</c:v>
                </c:pt>
                <c:pt idx="10">
                  <c:v>73881.950174999947</c:v>
                </c:pt>
                <c:pt idx="11">
                  <c:v>126079.83932500001</c:v>
                </c:pt>
                <c:pt idx="12">
                  <c:v>184363.52927499998</c:v>
                </c:pt>
                <c:pt idx="13">
                  <c:v>249018.48589999997</c:v>
                </c:pt>
                <c:pt idx="14">
                  <c:v>320303.52599999995</c:v>
                </c:pt>
                <c:pt idx="15">
                  <c:v>398489.71544999979</c:v>
                </c:pt>
                <c:pt idx="16">
                  <c:v>483829.48104999983</c:v>
                </c:pt>
                <c:pt idx="17">
                  <c:v>576600.15565000009</c:v>
                </c:pt>
                <c:pt idx="18">
                  <c:v>602060.97302499996</c:v>
                </c:pt>
                <c:pt idx="19">
                  <c:v>710448.06089999992</c:v>
                </c:pt>
                <c:pt idx="20">
                  <c:v>827022.09305000002</c:v>
                </c:pt>
                <c:pt idx="21">
                  <c:v>952030.11114999978</c:v>
                </c:pt>
                <c:pt idx="22">
                  <c:v>1085703.1368749999</c:v>
                </c:pt>
                <c:pt idx="23">
                  <c:v>1228277.5588749999</c:v>
                </c:pt>
                <c:pt idx="24">
                  <c:v>1379946.9406749997</c:v>
                </c:pt>
                <c:pt idx="25">
                  <c:v>1540941.1248749997</c:v>
                </c:pt>
                <c:pt idx="26">
                  <c:v>1711439.6589499996</c:v>
                </c:pt>
                <c:pt idx="27">
                  <c:v>1891638.6503750002</c:v>
                </c:pt>
                <c:pt idx="28">
                  <c:v>2081711.100575</c:v>
                </c:pt>
                <c:pt idx="29">
                  <c:v>2281842.8479500003</c:v>
                </c:pt>
                <c:pt idx="30">
                  <c:v>2492179.34485</c:v>
                </c:pt>
                <c:pt idx="31">
                  <c:v>2712867.6875749994</c:v>
                </c:pt>
                <c:pt idx="32">
                  <c:v>2944051.4293999993</c:v>
                </c:pt>
                <c:pt idx="33">
                  <c:v>3185862.2105749995</c:v>
                </c:pt>
                <c:pt idx="34">
                  <c:v>3438424.4052999998</c:v>
                </c:pt>
                <c:pt idx="35">
                  <c:v>3701845.8277750001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AC4-A648-BD31-329140FE56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Dollars ($)</a:t>
                </a:r>
              </a:p>
            </c:rich>
          </c:tx>
          <c:overlay val="1"/>
        </c:title>
        <c:numFmt formatCode="\$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11</xdr:row>
      <xdr:rowOff>0</xdr:rowOff>
    </xdr:from>
    <xdr:ext cx="1008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0</xdr:colOff>
      <xdr:row>27</xdr:row>
      <xdr:rowOff>0</xdr:rowOff>
    </xdr:from>
    <xdr:ext cx="10080000" cy="504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43</xdr:row>
      <xdr:rowOff>0</xdr:rowOff>
    </xdr:from>
    <xdr:ext cx="10080000" cy="504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F0FF"/>
  </sheetPr>
  <dimension ref="A1:E74"/>
  <sheetViews>
    <sheetView tabSelected="1" zoomScale="190" zoomScaleNormal="190" workbookViewId="0"/>
  </sheetViews>
  <sheetFormatPr baseColWidth="10" defaultColWidth="8.83203125" defaultRowHeight="15" x14ac:dyDescent="0.2"/>
  <cols>
    <col min="1" max="1" width="35" customWidth="1"/>
    <col min="2" max="2" width="18" customWidth="1"/>
    <col min="3" max="3" width="14" customWidth="1"/>
    <col min="4" max="4" width="45" customWidth="1"/>
  </cols>
  <sheetData>
    <row r="1" spans="1:5" ht="18" x14ac:dyDescent="0.2">
      <c r="A1" s="1" t="s">
        <v>0</v>
      </c>
    </row>
    <row r="2" spans="1:5" x14ac:dyDescent="0.2">
      <c r="A2" s="2" t="s">
        <v>1</v>
      </c>
    </row>
    <row r="4" spans="1:5" x14ac:dyDescent="0.2">
      <c r="A4" s="3" t="s">
        <v>2</v>
      </c>
      <c r="B4" s="4"/>
      <c r="C4" s="4"/>
      <c r="D4" s="4"/>
      <c r="E4" s="4"/>
    </row>
    <row r="5" spans="1:5" x14ac:dyDescent="0.2">
      <c r="A5" s="5" t="s">
        <v>3</v>
      </c>
      <c r="B5" s="5" t="s">
        <v>4</v>
      </c>
      <c r="C5" s="5" t="s">
        <v>5</v>
      </c>
      <c r="D5" s="5" t="s">
        <v>6</v>
      </c>
    </row>
    <row r="6" spans="1:5" x14ac:dyDescent="0.2">
      <c r="A6" s="6" t="s">
        <v>7</v>
      </c>
      <c r="B6" s="7">
        <v>0</v>
      </c>
      <c r="C6" s="7">
        <v>0</v>
      </c>
      <c r="D6" s="8" t="s">
        <v>8</v>
      </c>
    </row>
    <row r="7" spans="1:5" x14ac:dyDescent="0.2">
      <c r="A7" s="6" t="s">
        <v>9</v>
      </c>
      <c r="B7" s="9">
        <v>7.99</v>
      </c>
      <c r="C7" s="10">
        <f>B7*12*(1-B27)</f>
        <v>76.703999999999994</v>
      </c>
      <c r="D7" s="8" t="s">
        <v>10</v>
      </c>
    </row>
    <row r="8" spans="1:5" x14ac:dyDescent="0.2">
      <c r="A8" s="6" t="s">
        <v>11</v>
      </c>
      <c r="B8" s="9">
        <v>19.989999999999998</v>
      </c>
      <c r="C8" s="10">
        <f>B8*12*(1-B27)</f>
        <v>191.904</v>
      </c>
      <c r="D8" s="8" t="s">
        <v>12</v>
      </c>
    </row>
    <row r="10" spans="1:5" x14ac:dyDescent="0.2">
      <c r="A10" s="3" t="s">
        <v>13</v>
      </c>
      <c r="B10" s="4"/>
      <c r="C10" s="4"/>
      <c r="D10" s="4"/>
      <c r="E10" s="4"/>
    </row>
    <row r="11" spans="1:5" x14ac:dyDescent="0.2">
      <c r="A11" s="6" t="s">
        <v>14</v>
      </c>
      <c r="B11" s="11">
        <v>15000</v>
      </c>
      <c r="C11" s="12" t="s">
        <v>15</v>
      </c>
    </row>
    <row r="12" spans="1:5" x14ac:dyDescent="0.2">
      <c r="A12" s="6" t="s">
        <v>16</v>
      </c>
      <c r="B12" s="13">
        <v>0.12</v>
      </c>
      <c r="C12" s="12" t="s">
        <v>17</v>
      </c>
    </row>
    <row r="13" spans="1:5" x14ac:dyDescent="0.2">
      <c r="A13" s="6" t="s">
        <v>18</v>
      </c>
      <c r="B13" s="11">
        <v>2000</v>
      </c>
      <c r="C13" s="12" t="s">
        <v>19</v>
      </c>
    </row>
    <row r="14" spans="1:5" x14ac:dyDescent="0.2">
      <c r="A14" s="6" t="s">
        <v>20</v>
      </c>
      <c r="B14" s="13">
        <v>0.05</v>
      </c>
      <c r="C14" s="12" t="s">
        <v>21</v>
      </c>
    </row>
    <row r="15" spans="1:5" x14ac:dyDescent="0.2">
      <c r="A15" s="6" t="s">
        <v>22</v>
      </c>
      <c r="B15" s="14">
        <v>0.08</v>
      </c>
      <c r="C15" s="12" t="s">
        <v>23</v>
      </c>
    </row>
    <row r="16" spans="1:5" x14ac:dyDescent="0.2">
      <c r="A16" s="6" t="s">
        <v>24</v>
      </c>
      <c r="B16" s="15">
        <v>0.95499999999999996</v>
      </c>
      <c r="C16" s="12" t="s">
        <v>25</v>
      </c>
    </row>
    <row r="17" spans="1:5" x14ac:dyDescent="0.2">
      <c r="A17" s="3" t="s">
        <v>26</v>
      </c>
      <c r="B17" s="4"/>
      <c r="C17" s="4"/>
      <c r="D17" s="4"/>
      <c r="E17" s="4"/>
    </row>
    <row r="18" spans="1:5" x14ac:dyDescent="0.2">
      <c r="A18" s="6" t="s">
        <v>27</v>
      </c>
      <c r="B18" s="14">
        <v>3.5000000000000003E-2</v>
      </c>
      <c r="C18" s="12" t="s">
        <v>28</v>
      </c>
    </row>
    <row r="19" spans="1:5" x14ac:dyDescent="0.2">
      <c r="A19" s="6" t="s">
        <v>29</v>
      </c>
      <c r="B19" s="14">
        <v>8.0000000000000002E-3</v>
      </c>
      <c r="C19" s="12" t="s">
        <v>30</v>
      </c>
    </row>
    <row r="20" spans="1:5" x14ac:dyDescent="0.2">
      <c r="A20" s="6" t="s">
        <v>31</v>
      </c>
      <c r="B20" s="14">
        <v>0.02</v>
      </c>
      <c r="C20" s="12" t="s">
        <v>32</v>
      </c>
    </row>
    <row r="21" spans="1:5" x14ac:dyDescent="0.2">
      <c r="A21" s="6" t="s">
        <v>33</v>
      </c>
      <c r="B21" s="13">
        <v>0.08</v>
      </c>
      <c r="C21" s="12" t="s">
        <v>34</v>
      </c>
    </row>
    <row r="22" spans="1:5" x14ac:dyDescent="0.2">
      <c r="A22" s="6" t="s">
        <v>35</v>
      </c>
      <c r="B22" s="13">
        <v>0.05</v>
      </c>
      <c r="C22" s="12" t="s">
        <v>36</v>
      </c>
    </row>
    <row r="23" spans="1:5" x14ac:dyDescent="0.2">
      <c r="A23" s="6" t="s">
        <v>37</v>
      </c>
      <c r="B23" s="13">
        <v>0.03</v>
      </c>
      <c r="C23" s="12" t="s">
        <v>38</v>
      </c>
    </row>
    <row r="25" spans="1:5" x14ac:dyDescent="0.2">
      <c r="A25" s="3" t="s">
        <v>39</v>
      </c>
      <c r="B25" s="4"/>
      <c r="C25" s="4"/>
      <c r="D25" s="4"/>
      <c r="E25" s="4"/>
    </row>
    <row r="26" spans="1:5" x14ac:dyDescent="0.2">
      <c r="A26" s="6" t="s">
        <v>40</v>
      </c>
      <c r="B26" s="13">
        <v>0.35</v>
      </c>
      <c r="C26" s="12" t="s">
        <v>41</v>
      </c>
    </row>
    <row r="27" spans="1:5" x14ac:dyDescent="0.2">
      <c r="A27" s="6" t="s">
        <v>42</v>
      </c>
      <c r="B27" s="13">
        <v>0.2</v>
      </c>
      <c r="C27" s="12" t="s">
        <v>43</v>
      </c>
    </row>
    <row r="28" spans="1:5" x14ac:dyDescent="0.2">
      <c r="A28" s="6" t="s">
        <v>44</v>
      </c>
      <c r="B28" s="10">
        <f>B7*(1-B26) + (B7*(1-B27))*B26</f>
        <v>7.4306999999999999</v>
      </c>
      <c r="C28" s="16" t="s">
        <v>45</v>
      </c>
    </row>
    <row r="29" spans="1:5" x14ac:dyDescent="0.2">
      <c r="A29" s="6" t="s">
        <v>46</v>
      </c>
      <c r="B29" s="10">
        <f>B8*(1-B26) + (B8*(1-B27))*B26</f>
        <v>18.590699999999998</v>
      </c>
    </row>
    <row r="31" spans="1:5" x14ac:dyDescent="0.2">
      <c r="A31" s="3" t="s">
        <v>47</v>
      </c>
      <c r="B31" s="4"/>
      <c r="C31" s="4"/>
      <c r="D31" s="4"/>
      <c r="E31" s="4"/>
    </row>
    <row r="32" spans="1:5" x14ac:dyDescent="0.2">
      <c r="A32" s="6" t="s">
        <v>48</v>
      </c>
      <c r="B32" s="9">
        <v>2</v>
      </c>
      <c r="C32" s="12" t="s">
        <v>49</v>
      </c>
    </row>
    <row r="33" spans="1:5" x14ac:dyDescent="0.2">
      <c r="A33" s="6" t="s">
        <v>50</v>
      </c>
      <c r="B33" s="9">
        <v>0.15</v>
      </c>
      <c r="C33" s="12" t="s">
        <v>51</v>
      </c>
    </row>
    <row r="34" spans="1:5" x14ac:dyDescent="0.2">
      <c r="A34" s="6" t="s">
        <v>52</v>
      </c>
      <c r="B34" s="9">
        <v>3.5</v>
      </c>
      <c r="C34" s="12" t="s">
        <v>53</v>
      </c>
    </row>
    <row r="35" spans="1:5" x14ac:dyDescent="0.2">
      <c r="A35" s="6" t="s">
        <v>54</v>
      </c>
      <c r="B35" s="9">
        <v>28</v>
      </c>
      <c r="C35" s="12" t="s">
        <v>55</v>
      </c>
    </row>
    <row r="36" spans="1:5" x14ac:dyDescent="0.2">
      <c r="A36" s="6" t="s">
        <v>56</v>
      </c>
      <c r="B36" s="10">
        <f>(B34*0.7 + B35*0.3)</f>
        <v>10.85</v>
      </c>
      <c r="C36" s="16" t="s">
        <v>57</v>
      </c>
    </row>
    <row r="38" spans="1:5" x14ac:dyDescent="0.2">
      <c r="A38" s="3" t="s">
        <v>58</v>
      </c>
      <c r="B38" s="4"/>
      <c r="C38" s="4"/>
      <c r="D38" s="4"/>
      <c r="E38" s="4"/>
    </row>
    <row r="39" spans="1:5" x14ac:dyDescent="0.2">
      <c r="A39" s="5" t="s">
        <v>59</v>
      </c>
      <c r="B39" s="5" t="s">
        <v>60</v>
      </c>
      <c r="C39" s="5" t="s">
        <v>61</v>
      </c>
      <c r="D39" s="5" t="s">
        <v>62</v>
      </c>
    </row>
    <row r="40" spans="1:5" x14ac:dyDescent="0.2">
      <c r="A40" s="6" t="s">
        <v>63</v>
      </c>
      <c r="B40" s="11">
        <v>4</v>
      </c>
      <c r="C40" s="11">
        <v>6</v>
      </c>
      <c r="D40" s="11">
        <v>6</v>
      </c>
    </row>
    <row r="41" spans="1:5" x14ac:dyDescent="0.2">
      <c r="A41" s="6" t="s">
        <v>64</v>
      </c>
      <c r="B41" s="11">
        <v>1</v>
      </c>
      <c r="C41" s="11">
        <v>1</v>
      </c>
      <c r="D41" s="11">
        <v>2</v>
      </c>
    </row>
    <row r="42" spans="1:5" x14ac:dyDescent="0.2">
      <c r="A42" s="6" t="s">
        <v>65</v>
      </c>
      <c r="B42" s="11">
        <v>2</v>
      </c>
      <c r="C42" s="11">
        <v>2</v>
      </c>
      <c r="D42" s="11">
        <v>3</v>
      </c>
    </row>
    <row r="43" spans="1:5" x14ac:dyDescent="0.2">
      <c r="A43" s="6" t="s">
        <v>66</v>
      </c>
      <c r="B43" s="11">
        <v>1</v>
      </c>
      <c r="C43" s="11">
        <v>1</v>
      </c>
      <c r="D43" s="11">
        <v>2</v>
      </c>
    </row>
    <row r="44" spans="1:5" x14ac:dyDescent="0.2">
      <c r="A44" s="6" t="s">
        <v>67</v>
      </c>
      <c r="B44" s="11">
        <v>0</v>
      </c>
      <c r="C44" s="11">
        <v>0</v>
      </c>
      <c r="D44" s="11">
        <v>1</v>
      </c>
    </row>
    <row r="45" spans="1:5" x14ac:dyDescent="0.2">
      <c r="A45" s="6" t="s">
        <v>68</v>
      </c>
      <c r="B45" s="11">
        <v>1</v>
      </c>
      <c r="C45" s="11">
        <v>1</v>
      </c>
      <c r="D45" s="11">
        <v>2</v>
      </c>
    </row>
    <row r="46" spans="1:5" x14ac:dyDescent="0.2">
      <c r="A46" s="6" t="s">
        <v>69</v>
      </c>
      <c r="B46" s="11">
        <v>0</v>
      </c>
      <c r="C46" s="11">
        <v>1</v>
      </c>
      <c r="D46" s="11">
        <v>2</v>
      </c>
    </row>
    <row r="47" spans="1:5" x14ac:dyDescent="0.2">
      <c r="A47" s="17" t="s">
        <v>70</v>
      </c>
      <c r="B47" s="18">
        <f>SUM(B40:B46)</f>
        <v>9</v>
      </c>
      <c r="C47" s="18">
        <f>SUM(C40:C46)</f>
        <v>12</v>
      </c>
      <c r="D47" s="18">
        <f>SUM(D40:D46)</f>
        <v>18</v>
      </c>
    </row>
    <row r="48" spans="1:5" x14ac:dyDescent="0.2">
      <c r="A48" s="6" t="s">
        <v>71</v>
      </c>
      <c r="B48" s="7">
        <v>150000</v>
      </c>
      <c r="C48" s="12" t="s">
        <v>72</v>
      </c>
    </row>
    <row r="50" spans="1:5" x14ac:dyDescent="0.2">
      <c r="A50" s="3" t="s">
        <v>73</v>
      </c>
      <c r="B50" s="4"/>
      <c r="C50" s="4"/>
      <c r="D50" s="4"/>
      <c r="E50" s="4"/>
    </row>
    <row r="51" spans="1:5" x14ac:dyDescent="0.2">
      <c r="A51" s="6" t="s">
        <v>74</v>
      </c>
      <c r="B51" s="7">
        <v>5000000</v>
      </c>
      <c r="C51" s="12" t="s">
        <v>75</v>
      </c>
    </row>
    <row r="52" spans="1:5" x14ac:dyDescent="0.2">
      <c r="A52" s="6" t="s">
        <v>76</v>
      </c>
      <c r="B52" s="7">
        <v>16000000</v>
      </c>
    </row>
    <row r="53" spans="1:5" x14ac:dyDescent="0.2">
      <c r="A53" s="6" t="s">
        <v>77</v>
      </c>
      <c r="B53" s="7">
        <v>20000000</v>
      </c>
      <c r="C53" s="12" t="s">
        <v>78</v>
      </c>
    </row>
    <row r="54" spans="1:5" x14ac:dyDescent="0.2">
      <c r="A54" s="6" t="s">
        <v>79</v>
      </c>
      <c r="B54" s="7">
        <v>80000000</v>
      </c>
    </row>
    <row r="55" spans="1:5" x14ac:dyDescent="0.2">
      <c r="A55" s="6" t="s">
        <v>80</v>
      </c>
      <c r="B55" s="7">
        <v>300000</v>
      </c>
      <c r="C55" s="12" t="s">
        <v>81</v>
      </c>
    </row>
    <row r="57" spans="1:5" x14ac:dyDescent="0.2">
      <c r="A57" s="3" t="s">
        <v>82</v>
      </c>
      <c r="B57" s="4"/>
      <c r="C57" s="4"/>
      <c r="D57" s="4"/>
      <c r="E57" s="4"/>
    </row>
    <row r="58" spans="1:5" x14ac:dyDescent="0.2">
      <c r="A58" s="6" t="s">
        <v>83</v>
      </c>
      <c r="B58" s="7">
        <v>10000</v>
      </c>
      <c r="C58" s="12" t="s">
        <v>84</v>
      </c>
    </row>
    <row r="59" spans="1:5" x14ac:dyDescent="0.2">
      <c r="A59" s="6" t="s">
        <v>85</v>
      </c>
      <c r="B59" s="7">
        <v>5000</v>
      </c>
      <c r="C59" s="12" t="s">
        <v>86</v>
      </c>
    </row>
    <row r="60" spans="1:5" x14ac:dyDescent="0.2">
      <c r="A60" s="6" t="s">
        <v>87</v>
      </c>
      <c r="B60" s="7">
        <v>4000</v>
      </c>
      <c r="C60" s="12" t="s">
        <v>88</v>
      </c>
    </row>
    <row r="61" spans="1:5" x14ac:dyDescent="0.2">
      <c r="A61" s="6" t="s">
        <v>89</v>
      </c>
      <c r="B61" s="13">
        <v>0.25</v>
      </c>
      <c r="C61" s="12" t="s">
        <v>90</v>
      </c>
    </row>
    <row r="62" spans="1:5" x14ac:dyDescent="0.2">
      <c r="A62" s="6" t="s">
        <v>91</v>
      </c>
      <c r="B62" s="7">
        <v>0</v>
      </c>
      <c r="C62" s="12" t="s">
        <v>92</v>
      </c>
    </row>
    <row r="64" spans="1:5" x14ac:dyDescent="0.2">
      <c r="A64" s="39" t="s">
        <v>93</v>
      </c>
    </row>
    <row r="65" spans="1:3" x14ac:dyDescent="0.2">
      <c r="A65" t="s">
        <v>94</v>
      </c>
      <c r="B65">
        <v>0.02</v>
      </c>
      <c r="C65" t="s">
        <v>95</v>
      </c>
    </row>
    <row r="66" spans="1:3" x14ac:dyDescent="0.2">
      <c r="A66" t="s">
        <v>96</v>
      </c>
      <c r="B66">
        <v>0.01</v>
      </c>
      <c r="C66" t="s">
        <v>97</v>
      </c>
    </row>
    <row r="68" spans="1:3" x14ac:dyDescent="0.2">
      <c r="A68" s="39" t="s">
        <v>98</v>
      </c>
    </row>
    <row r="69" spans="1:3" x14ac:dyDescent="0.2">
      <c r="A69" t="s">
        <v>99</v>
      </c>
      <c r="B69">
        <v>500</v>
      </c>
      <c r="C69" t="s">
        <v>100</v>
      </c>
    </row>
    <row r="70" spans="1:3" x14ac:dyDescent="0.2">
      <c r="A70" t="s">
        <v>101</v>
      </c>
      <c r="B70">
        <v>1800</v>
      </c>
      <c r="C70" t="s">
        <v>102</v>
      </c>
    </row>
    <row r="71" spans="1:3" x14ac:dyDescent="0.2">
      <c r="A71" t="s">
        <v>103</v>
      </c>
      <c r="B71">
        <v>95.88</v>
      </c>
      <c r="C71" t="s">
        <v>104</v>
      </c>
    </row>
    <row r="72" spans="1:3" x14ac:dyDescent="0.2">
      <c r="A72" t="s">
        <v>105</v>
      </c>
      <c r="B72">
        <v>239.88</v>
      </c>
      <c r="C72" t="s">
        <v>106</v>
      </c>
    </row>
    <row r="73" spans="1:3" x14ac:dyDescent="0.2">
      <c r="A73" t="s">
        <v>107</v>
      </c>
      <c r="B73">
        <f>B69/B71</f>
        <v>5.2148518982060912</v>
      </c>
      <c r="C73" t="s">
        <v>108</v>
      </c>
    </row>
    <row r="74" spans="1:3" x14ac:dyDescent="0.2">
      <c r="A74" t="s">
        <v>109</v>
      </c>
      <c r="B74">
        <f>B70/B72</f>
        <v>7.5037518759379696</v>
      </c>
      <c r="C74" t="s">
        <v>108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4B8A6"/>
  </sheetPr>
  <dimension ref="A1:AL30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30" customWidth="1"/>
    <col min="2" max="2" width="8" customWidth="1"/>
    <col min="3" max="38" width="13" customWidth="1"/>
  </cols>
  <sheetData>
    <row r="1" spans="1:38" ht="18" x14ac:dyDescent="0.2">
      <c r="A1" s="1" t="s">
        <v>110</v>
      </c>
    </row>
    <row r="2" spans="1:38" x14ac:dyDescent="0.2">
      <c r="A2" s="2" t="s">
        <v>111</v>
      </c>
    </row>
    <row r="4" spans="1:38" x14ac:dyDescent="0.2">
      <c r="A4" s="19" t="s">
        <v>112</v>
      </c>
      <c r="B4" s="19" t="s">
        <v>113</v>
      </c>
      <c r="C4" s="20" t="s">
        <v>114</v>
      </c>
      <c r="D4" s="20" t="s">
        <v>115</v>
      </c>
      <c r="E4" s="20" t="s">
        <v>116</v>
      </c>
      <c r="F4" s="20" t="s">
        <v>117</v>
      </c>
      <c r="G4" s="20" t="s">
        <v>118</v>
      </c>
      <c r="H4" s="20" t="s">
        <v>119</v>
      </c>
      <c r="I4" s="20" t="s">
        <v>120</v>
      </c>
      <c r="J4" s="20" t="s">
        <v>121</v>
      </c>
      <c r="K4" s="20" t="s">
        <v>122</v>
      </c>
      <c r="L4" s="20" t="s">
        <v>123</v>
      </c>
      <c r="M4" s="20" t="s">
        <v>124</v>
      </c>
      <c r="N4" s="20" t="s">
        <v>125</v>
      </c>
      <c r="O4" s="20" t="s">
        <v>126</v>
      </c>
      <c r="P4" s="20" t="s">
        <v>127</v>
      </c>
      <c r="Q4" s="20" t="s">
        <v>128</v>
      </c>
      <c r="R4" s="20" t="s">
        <v>129</v>
      </c>
      <c r="S4" s="20" t="s">
        <v>130</v>
      </c>
      <c r="T4" s="20" t="s">
        <v>131</v>
      </c>
      <c r="U4" s="20" t="s">
        <v>132</v>
      </c>
      <c r="V4" s="20" t="s">
        <v>133</v>
      </c>
      <c r="W4" s="20" t="s">
        <v>134</v>
      </c>
      <c r="X4" s="20" t="s">
        <v>135</v>
      </c>
      <c r="Y4" s="20" t="s">
        <v>136</v>
      </c>
      <c r="Z4" s="20" t="s">
        <v>137</v>
      </c>
      <c r="AA4" s="20" t="s">
        <v>138</v>
      </c>
      <c r="AB4" s="20" t="s">
        <v>139</v>
      </c>
      <c r="AC4" s="20" t="s">
        <v>140</v>
      </c>
      <c r="AD4" s="20" t="s">
        <v>141</v>
      </c>
      <c r="AE4" s="20" t="s">
        <v>142</v>
      </c>
      <c r="AF4" s="20" t="s">
        <v>143</v>
      </c>
      <c r="AG4" s="20" t="s">
        <v>144</v>
      </c>
      <c r="AH4" s="20" t="s">
        <v>145</v>
      </c>
      <c r="AI4" s="20" t="s">
        <v>146</v>
      </c>
      <c r="AJ4" s="20" t="s">
        <v>147</v>
      </c>
      <c r="AK4" s="20" t="s">
        <v>148</v>
      </c>
      <c r="AL4" s="20" t="s">
        <v>149</v>
      </c>
    </row>
    <row r="5" spans="1:38" x14ac:dyDescent="0.2">
      <c r="A5" s="3" t="s">
        <v>150</v>
      </c>
      <c r="B5" s="4"/>
      <c r="C5" s="4"/>
      <c r="D5" s="4"/>
      <c r="E5" s="4"/>
    </row>
    <row r="6" spans="1:38" x14ac:dyDescent="0.2">
      <c r="A6" s="6" t="s">
        <v>151</v>
      </c>
      <c r="B6" s="6" t="s">
        <v>152</v>
      </c>
      <c r="C6" s="21">
        <f>Assumptions!B11</f>
        <v>15000</v>
      </c>
      <c r="D6" s="21">
        <f>ROUND(C6*(1+Assumptions!$B$12*Assumptions!$B$16^(COLUMN()-3)),0)</f>
        <v>16719</v>
      </c>
      <c r="E6" s="21">
        <f>ROUND(D6*(1+Assumptions!$B$12*Assumptions!$B$16^(COLUMN()-3)),0)</f>
        <v>18549</v>
      </c>
      <c r="F6" s="21">
        <f>ROUND(E6*(1+Assumptions!$B$12*Assumptions!$B$16^(COLUMN()-3)),0)</f>
        <v>20488</v>
      </c>
      <c r="G6" s="21">
        <f>ROUND(F6*(1+Assumptions!$B$12*Assumptions!$B$16^(COLUMN()-3)),0)</f>
        <v>22533</v>
      </c>
      <c r="H6" s="21">
        <f>ROUND(G6*(1+Assumptions!$B$12*Assumptions!$B$16^(COLUMN()-3)),0)</f>
        <v>24681</v>
      </c>
      <c r="I6" s="21">
        <f>ROUND(H6*(1+Assumptions!$B$12*Assumptions!$B$16^(COLUMN()-3)),0)</f>
        <v>26928</v>
      </c>
      <c r="J6" s="21">
        <f>ROUND(I6*(1+Assumptions!$B$12*Assumptions!$B$16^(COLUMN()-3)),0)</f>
        <v>29269</v>
      </c>
      <c r="K6" s="21">
        <f>ROUND(J6*(1+Assumptions!$B$12*Assumptions!$B$16^(COLUMN()-3)),0)</f>
        <v>31699</v>
      </c>
      <c r="L6" s="21">
        <f>ROUND(K6*(1+Assumptions!$B$12*Assumptions!$B$16^(COLUMN()-3)),0)</f>
        <v>34212</v>
      </c>
      <c r="M6" s="21">
        <f>ROUND(L6*(1+Assumptions!$B$12*Assumptions!$B$16^(COLUMN()-3)),0)</f>
        <v>36803</v>
      </c>
      <c r="N6" s="21">
        <f>ROUND(M6*(1+Assumptions!$B$12*Assumptions!$B$16^(COLUMN()-3)),0)</f>
        <v>39464</v>
      </c>
      <c r="O6" s="21">
        <f>ROUND(N6*(1+Assumptions!$B$12*Assumptions!$B$16^(COLUMN()-3)),0)</f>
        <v>42189</v>
      </c>
      <c r="P6" s="21">
        <f>ROUND(O6*(1+Assumptions!$B$12*Assumptions!$B$16^(COLUMN()-3)),0)</f>
        <v>44971</v>
      </c>
      <c r="Q6" s="21">
        <f>ROUND(P6*(1+Assumptions!$B$12*Assumptions!$B$16^(COLUMN()-3)),0)</f>
        <v>47803</v>
      </c>
      <c r="R6" s="21">
        <f>ROUND(Q6*(1+Assumptions!$B$12*Assumptions!$B$16^(COLUMN()-3)),0)</f>
        <v>50678</v>
      </c>
      <c r="S6" s="21">
        <f>ROUND(R6*(1+Assumptions!$B$12*Assumptions!$B$16^(COLUMN()-3)),0)</f>
        <v>53589</v>
      </c>
      <c r="T6" s="21">
        <f>ROUND(S6*(1+Assumptions!$B$12*Assumptions!$B$16^(COLUMN()-3)),0)</f>
        <v>56529</v>
      </c>
      <c r="U6" s="21">
        <f>ROUND(T6*(1+Assumptions!$B$12*Assumptions!$B$16^(COLUMN()-3)),0)</f>
        <v>59491</v>
      </c>
      <c r="V6" s="21">
        <f>ROUND(U6*(1+Assumptions!$B$12*Assumptions!$B$16^(COLUMN()-3)),0)</f>
        <v>62467</v>
      </c>
      <c r="W6" s="21">
        <f>ROUND(V6*(1+Assumptions!$B$12*Assumptions!$B$16^(COLUMN()-3)),0)</f>
        <v>65452</v>
      </c>
      <c r="X6" s="21">
        <f>ROUND(W6*(1+Assumptions!$B$12*Assumptions!$B$16^(COLUMN()-3)),0)</f>
        <v>68439</v>
      </c>
      <c r="Y6" s="21">
        <f>ROUND(X6*(1+Assumptions!$B$12*Assumptions!$B$16^(COLUMN()-3)),0)</f>
        <v>71421</v>
      </c>
      <c r="Z6" s="21">
        <f>ROUND(Y6*(1+Assumptions!$B$12*Assumptions!$B$16^(COLUMN()-3)),0)</f>
        <v>74393</v>
      </c>
      <c r="AA6" s="21">
        <f>ROUND(Z6*(1+Assumptions!$B$12*Assumptions!$B$16^(COLUMN()-3)),0)</f>
        <v>77350</v>
      </c>
      <c r="AB6" s="21">
        <f>ROUND(AA6*(1+Assumptions!$B$12*Assumptions!$B$16^(COLUMN()-3)),0)</f>
        <v>80286</v>
      </c>
      <c r="AC6" s="21">
        <f>ROUND(AB6*(1+Assumptions!$B$12*Assumptions!$B$16^(COLUMN()-3)),0)</f>
        <v>83196</v>
      </c>
      <c r="AD6" s="21">
        <f>ROUND(AC6*(1+Assumptions!$B$12*Assumptions!$B$16^(COLUMN()-3)),0)</f>
        <v>86076</v>
      </c>
      <c r="AE6" s="21">
        <f>ROUND(AD6*(1+Assumptions!$B$12*Assumptions!$B$16^(COLUMN()-3)),0)</f>
        <v>88921</v>
      </c>
      <c r="AF6" s="21">
        <f>ROUND(AE6*(1+Assumptions!$B$12*Assumptions!$B$16^(COLUMN()-3)),0)</f>
        <v>91728</v>
      </c>
      <c r="AG6" s="21">
        <f>ROUND(AF6*(1+Assumptions!$B$12*Assumptions!$B$16^(COLUMN()-3)),0)</f>
        <v>94494</v>
      </c>
      <c r="AH6" s="21">
        <f>ROUND(AG6*(1+Assumptions!$B$12*Assumptions!$B$16^(COLUMN()-3)),0)</f>
        <v>97215</v>
      </c>
      <c r="AI6" s="21">
        <f>ROUND(AH6*(1+Assumptions!$B$12*Assumptions!$B$16^(COLUMN()-3)),0)</f>
        <v>99888</v>
      </c>
      <c r="AJ6" s="21">
        <f>ROUND(AI6*(1+Assumptions!$B$12*Assumptions!$B$16^(COLUMN()-3)),0)</f>
        <v>102511</v>
      </c>
      <c r="AK6" s="21">
        <f>ROUND(AJ6*(1+Assumptions!$B$12*Assumptions!$B$16^(COLUMN()-3)),0)</f>
        <v>105082</v>
      </c>
      <c r="AL6" s="21">
        <f>ROUND(AK6*(1+Assumptions!$B$12*Assumptions!$B$16^(COLUMN()-3)),0)</f>
        <v>107599</v>
      </c>
    </row>
    <row r="7" spans="1:38" x14ac:dyDescent="0.2">
      <c r="A7" s="6" t="s">
        <v>153</v>
      </c>
      <c r="B7" s="6" t="s">
        <v>152</v>
      </c>
      <c r="C7" s="21">
        <f>Assumptions!B13</f>
        <v>2000</v>
      </c>
      <c r="D7" s="21">
        <f>ROUND(C7*(1+Assumptions!$B$14*Assumptions!$B$16^(COLUMN()-3)),0)</f>
        <v>2096</v>
      </c>
      <c r="E7" s="21">
        <f>ROUND(D7*(1+Assumptions!$B$14*Assumptions!$B$16^(COLUMN()-3)),0)</f>
        <v>2192</v>
      </c>
      <c r="F7" s="21">
        <f>ROUND(E7*(1+Assumptions!$B$14*Assumptions!$B$16^(COLUMN()-3)),0)</f>
        <v>2287</v>
      </c>
      <c r="G7" s="21">
        <f>ROUND(F7*(1+Assumptions!$B$14*Assumptions!$B$16^(COLUMN()-3)),0)</f>
        <v>2382</v>
      </c>
      <c r="H7" s="21">
        <f>ROUND(G7*(1+Assumptions!$B$14*Assumptions!$B$16^(COLUMN()-3)),0)</f>
        <v>2477</v>
      </c>
      <c r="I7" s="21">
        <f>ROUND(H7*(1+Assumptions!$B$14*Assumptions!$B$16^(COLUMN()-3)),0)</f>
        <v>2571</v>
      </c>
      <c r="J7" s="21">
        <f>ROUND(I7*(1+Assumptions!$B$14*Assumptions!$B$16^(COLUMN()-3)),0)</f>
        <v>2664</v>
      </c>
      <c r="K7" s="21">
        <f>ROUND(J7*(1+Assumptions!$B$14*Assumptions!$B$16^(COLUMN()-3)),0)</f>
        <v>2756</v>
      </c>
      <c r="L7" s="21">
        <f>ROUND(K7*(1+Assumptions!$B$14*Assumptions!$B$16^(COLUMN()-3)),0)</f>
        <v>2847</v>
      </c>
      <c r="M7" s="21">
        <f>ROUND(L7*(1+Assumptions!$B$14*Assumptions!$B$16^(COLUMN()-3)),0)</f>
        <v>2937</v>
      </c>
      <c r="N7" s="21">
        <f>ROUND(M7*(1+Assumptions!$B$14*Assumptions!$B$16^(COLUMN()-3)),0)</f>
        <v>3025</v>
      </c>
      <c r="O7" s="21">
        <f>ROUND(N7*(1+Assumptions!$B$14*Assumptions!$B$16^(COLUMN()-3)),0)</f>
        <v>3112</v>
      </c>
      <c r="P7" s="21">
        <f>ROUND(O7*(1+Assumptions!$B$14*Assumptions!$B$16^(COLUMN()-3)),0)</f>
        <v>3198</v>
      </c>
      <c r="Q7" s="21">
        <f>ROUND(P7*(1+Assumptions!$B$14*Assumptions!$B$16^(COLUMN()-3)),0)</f>
        <v>3282</v>
      </c>
      <c r="R7" s="21">
        <f>ROUND(Q7*(1+Assumptions!$B$14*Assumptions!$B$16^(COLUMN()-3)),0)</f>
        <v>3364</v>
      </c>
      <c r="S7" s="21">
        <f>ROUND(R7*(1+Assumptions!$B$14*Assumptions!$B$16^(COLUMN()-3)),0)</f>
        <v>3445</v>
      </c>
      <c r="T7" s="21">
        <f>ROUND(S7*(1+Assumptions!$B$14*Assumptions!$B$16^(COLUMN()-3)),0)</f>
        <v>3524</v>
      </c>
      <c r="U7" s="21">
        <f>ROUND(T7*(1+Assumptions!$B$14*Assumptions!$B$16^(COLUMN()-3)),0)</f>
        <v>3601</v>
      </c>
      <c r="V7" s="21">
        <f>ROUND(U7*(1+Assumptions!$B$14*Assumptions!$B$16^(COLUMN()-3)),0)</f>
        <v>3676</v>
      </c>
      <c r="W7" s="21">
        <f>ROUND(V7*(1+Assumptions!$B$14*Assumptions!$B$16^(COLUMN()-3)),0)</f>
        <v>3749</v>
      </c>
      <c r="X7" s="21">
        <f>ROUND(W7*(1+Assumptions!$B$14*Assumptions!$B$16^(COLUMN()-3)),0)</f>
        <v>3820</v>
      </c>
      <c r="Y7" s="21">
        <f>ROUND(X7*(1+Assumptions!$B$14*Assumptions!$B$16^(COLUMN()-3)),0)</f>
        <v>3889</v>
      </c>
      <c r="Z7" s="21">
        <f>ROUND(Y7*(1+Assumptions!$B$14*Assumptions!$B$16^(COLUMN()-3)),0)</f>
        <v>3956</v>
      </c>
      <c r="AA7" s="21">
        <f>ROUND(Z7*(1+Assumptions!$B$14*Assumptions!$B$16^(COLUMN()-3)),0)</f>
        <v>4022</v>
      </c>
      <c r="AB7" s="21">
        <f>ROUND(AA7*(1+Assumptions!$B$14*Assumptions!$B$16^(COLUMN()-3)),0)</f>
        <v>4086</v>
      </c>
      <c r="AC7" s="21">
        <f>ROUND(AB7*(1+Assumptions!$B$14*Assumptions!$B$16^(COLUMN()-3)),0)</f>
        <v>4148</v>
      </c>
      <c r="AD7" s="21">
        <f>ROUND(AC7*(1+Assumptions!$B$14*Assumptions!$B$16^(COLUMN()-3)),0)</f>
        <v>4208</v>
      </c>
      <c r="AE7" s="21">
        <f>ROUND(AD7*(1+Assumptions!$B$14*Assumptions!$B$16^(COLUMN()-3)),0)</f>
        <v>4266</v>
      </c>
      <c r="AF7" s="21">
        <f>ROUND(AE7*(1+Assumptions!$B$14*Assumptions!$B$16^(COLUMN()-3)),0)</f>
        <v>4322</v>
      </c>
      <c r="AG7" s="21">
        <f>ROUND(AF7*(1+Assumptions!$B$14*Assumptions!$B$16^(COLUMN()-3)),0)</f>
        <v>4376</v>
      </c>
      <c r="AH7" s="21">
        <f>ROUND(AG7*(1+Assumptions!$B$14*Assumptions!$B$16^(COLUMN()-3)),0)</f>
        <v>4428</v>
      </c>
      <c r="AI7" s="21">
        <f>ROUND(AH7*(1+Assumptions!$B$14*Assumptions!$B$16^(COLUMN()-3)),0)</f>
        <v>4479</v>
      </c>
      <c r="AJ7" s="21">
        <f>ROUND(AI7*(1+Assumptions!$B$14*Assumptions!$B$16^(COLUMN()-3)),0)</f>
        <v>4528</v>
      </c>
      <c r="AK7" s="21">
        <f>ROUND(AJ7*(1+Assumptions!$B$14*Assumptions!$B$16^(COLUMN()-3)),0)</f>
        <v>4575</v>
      </c>
      <c r="AL7" s="21">
        <f>ROUND(AK7*(1+Assumptions!$B$14*Assumptions!$B$16^(COLUMN()-3)),0)</f>
        <v>4621</v>
      </c>
    </row>
    <row r="8" spans="1:38" x14ac:dyDescent="0.2">
      <c r="A8" s="6" t="s">
        <v>154</v>
      </c>
      <c r="B8" s="6" t="s">
        <v>152</v>
      </c>
      <c r="C8" s="22">
        <f>0</f>
        <v>0</v>
      </c>
      <c r="D8" s="21">
        <f>ROUND((C15+C21+C26)*Assumptions!$B$15,0)</f>
        <v>1248</v>
      </c>
      <c r="E8" s="21">
        <f>ROUND((D15+D21+D26)*Assumptions!$B$15,0)</f>
        <v>2621</v>
      </c>
      <c r="F8" s="21">
        <f>ROUND((E15+E21+E26)*Assumptions!$B$15,0)</f>
        <v>4128</v>
      </c>
      <c r="G8" s="21">
        <f>ROUND((F15+F21+F26)*Assumptions!$B$15,0)</f>
        <v>5777</v>
      </c>
      <c r="H8" s="21">
        <f>ROUND((G15+G21+G26)*Assumptions!$B$15,0)</f>
        <v>7578</v>
      </c>
      <c r="I8" s="21">
        <f>ROUND((H15+H21+H26)*Assumptions!$B$15,0)</f>
        <v>9538</v>
      </c>
      <c r="J8" s="21">
        <f>ROUND((I15+I21+I26)*Assumptions!$B$15,0)</f>
        <v>11667</v>
      </c>
      <c r="K8" s="21">
        <f>ROUND((J15+J21+J26)*Assumptions!$B$15,0)</f>
        <v>13971</v>
      </c>
      <c r="L8" s="21">
        <f>ROUND((K15+K21+K26)*Assumptions!$B$15,0)</f>
        <v>16458</v>
      </c>
      <c r="M8" s="21">
        <f>ROUND((L15+L21+L26)*Assumptions!$B$15,0)</f>
        <v>19135</v>
      </c>
      <c r="N8" s="21">
        <f>ROUND((M15+M21+M26)*Assumptions!$B$15,0)</f>
        <v>22010</v>
      </c>
      <c r="O8" s="21">
        <f>ROUND((N15+N21+N26)*Assumptions!$B$15,0)</f>
        <v>25087</v>
      </c>
      <c r="P8" s="21">
        <f>ROUND((O15+O21+O26)*Assumptions!$B$15,0)</f>
        <v>28373</v>
      </c>
      <c r="Q8" s="21">
        <f>ROUND((P15+P21+P26)*Assumptions!$B$15,0)</f>
        <v>31874</v>
      </c>
      <c r="R8" s="21">
        <f>ROUND((Q15+Q21+Q26)*Assumptions!$B$15,0)</f>
        <v>35594</v>
      </c>
      <c r="S8" s="21">
        <f>ROUND((R15+R21+R26)*Assumptions!$B$15,0)</f>
        <v>39538</v>
      </c>
      <c r="T8" s="21">
        <f>ROUND((S15+S21+S26)*Assumptions!$B$15,0)</f>
        <v>43709</v>
      </c>
      <c r="U8" s="21">
        <f>ROUND((T15+T21+T26)*Assumptions!$B$15,0)</f>
        <v>48111</v>
      </c>
      <c r="V8" s="21">
        <f>ROUND((U15+U21+U26)*Assumptions!$B$15,0)</f>
        <v>52748</v>
      </c>
      <c r="W8" s="21">
        <f>ROUND((V15+V21+V26)*Assumptions!$B$15,0)</f>
        <v>57621</v>
      </c>
      <c r="X8" s="21">
        <f>ROUND((W15+W21+W26)*Assumptions!$B$15,0)</f>
        <v>62734</v>
      </c>
      <c r="Y8" s="21">
        <f>ROUND((X15+X21+X26)*Assumptions!$B$15,0)</f>
        <v>68088</v>
      </c>
      <c r="Z8" s="21">
        <f>ROUND((Y15+Y21+Y26)*Assumptions!$B$15,0)</f>
        <v>73685</v>
      </c>
      <c r="AA8" s="21">
        <f>ROUND((Z15+Z21+Z26)*Assumptions!$B$15,0)</f>
        <v>79525</v>
      </c>
      <c r="AB8" s="21">
        <f>ROUND((AA15+AA21+AA26)*Assumptions!$B$15,0)</f>
        <v>85611</v>
      </c>
      <c r="AC8" s="21">
        <f>ROUND((AB15+AB21+AB26)*Assumptions!$B$15,0)</f>
        <v>91941</v>
      </c>
      <c r="AD8" s="21">
        <f>ROUND((AC15+AC21+AC26)*Assumptions!$B$15,0)</f>
        <v>98517</v>
      </c>
      <c r="AE8" s="21">
        <f>ROUND((AD15+AD21+AD26)*Assumptions!$B$15,0)</f>
        <v>105339</v>
      </c>
      <c r="AF8" s="21">
        <f>ROUND((AE15+AE21+AE26)*Assumptions!$B$15,0)</f>
        <v>112405</v>
      </c>
      <c r="AG8" s="21">
        <f>ROUND((AF15+AF21+AF26)*Assumptions!$B$15,0)</f>
        <v>119717</v>
      </c>
      <c r="AH8" s="21">
        <f>ROUND((AG15+AG21+AG26)*Assumptions!$B$15,0)</f>
        <v>127272</v>
      </c>
      <c r="AI8" s="21">
        <f>ROUND((AH15+AH21+AH26)*Assumptions!$B$15,0)</f>
        <v>135071</v>
      </c>
      <c r="AJ8" s="21">
        <f>ROUND((AI15+AI21+AI26)*Assumptions!$B$15,0)</f>
        <v>143113</v>
      </c>
      <c r="AK8" s="21">
        <f>ROUND((AJ15+AJ21+AJ26)*Assumptions!$B$15,0)</f>
        <v>151396</v>
      </c>
      <c r="AL8" s="21">
        <f>ROUND((AK15+AK21+AK26)*Assumptions!$B$15,0)</f>
        <v>159919</v>
      </c>
    </row>
    <row r="9" spans="1:38" x14ac:dyDescent="0.2">
      <c r="A9" s="17" t="s">
        <v>155</v>
      </c>
      <c r="B9" s="17" t="s">
        <v>152</v>
      </c>
      <c r="C9" s="18">
        <f t="shared" ref="C9:AL9" si="0">C6+C7+C8</f>
        <v>17000</v>
      </c>
      <c r="D9" s="18">
        <f t="shared" si="0"/>
        <v>20063</v>
      </c>
      <c r="E9" s="18">
        <f t="shared" si="0"/>
        <v>23362</v>
      </c>
      <c r="F9" s="18">
        <f t="shared" si="0"/>
        <v>26903</v>
      </c>
      <c r="G9" s="18">
        <f t="shared" si="0"/>
        <v>30692</v>
      </c>
      <c r="H9" s="18">
        <f t="shared" si="0"/>
        <v>34736</v>
      </c>
      <c r="I9" s="18">
        <f t="shared" si="0"/>
        <v>39037</v>
      </c>
      <c r="J9" s="18">
        <f t="shared" si="0"/>
        <v>43600</v>
      </c>
      <c r="K9" s="18">
        <f t="shared" si="0"/>
        <v>48426</v>
      </c>
      <c r="L9" s="18">
        <f t="shared" si="0"/>
        <v>53517</v>
      </c>
      <c r="M9" s="18">
        <f t="shared" si="0"/>
        <v>58875</v>
      </c>
      <c r="N9" s="18">
        <f t="shared" si="0"/>
        <v>64499</v>
      </c>
      <c r="O9" s="18">
        <f t="shared" si="0"/>
        <v>70388</v>
      </c>
      <c r="P9" s="18">
        <f t="shared" si="0"/>
        <v>76542</v>
      </c>
      <c r="Q9" s="18">
        <f t="shared" si="0"/>
        <v>82959</v>
      </c>
      <c r="R9" s="18">
        <f t="shared" si="0"/>
        <v>89636</v>
      </c>
      <c r="S9" s="18">
        <f t="shared" si="0"/>
        <v>96572</v>
      </c>
      <c r="T9" s="18">
        <f t="shared" si="0"/>
        <v>103762</v>
      </c>
      <c r="U9" s="18">
        <f t="shared" si="0"/>
        <v>111203</v>
      </c>
      <c r="V9" s="18">
        <f t="shared" si="0"/>
        <v>118891</v>
      </c>
      <c r="W9" s="18">
        <f t="shared" si="0"/>
        <v>126822</v>
      </c>
      <c r="X9" s="18">
        <f t="shared" si="0"/>
        <v>134993</v>
      </c>
      <c r="Y9" s="18">
        <f t="shared" si="0"/>
        <v>143398</v>
      </c>
      <c r="Z9" s="18">
        <f t="shared" si="0"/>
        <v>152034</v>
      </c>
      <c r="AA9" s="18">
        <f t="shared" si="0"/>
        <v>160897</v>
      </c>
      <c r="AB9" s="18">
        <f t="shared" si="0"/>
        <v>169983</v>
      </c>
      <c r="AC9" s="18">
        <f t="shared" si="0"/>
        <v>179285</v>
      </c>
      <c r="AD9" s="18">
        <f t="shared" si="0"/>
        <v>188801</v>
      </c>
      <c r="AE9" s="18">
        <f t="shared" si="0"/>
        <v>198526</v>
      </c>
      <c r="AF9" s="18">
        <f t="shared" si="0"/>
        <v>208455</v>
      </c>
      <c r="AG9" s="18">
        <f t="shared" si="0"/>
        <v>218587</v>
      </c>
      <c r="AH9" s="18">
        <f t="shared" si="0"/>
        <v>228915</v>
      </c>
      <c r="AI9" s="18">
        <f t="shared" si="0"/>
        <v>239438</v>
      </c>
      <c r="AJ9" s="18">
        <f t="shared" si="0"/>
        <v>250152</v>
      </c>
      <c r="AK9" s="18">
        <f t="shared" si="0"/>
        <v>261053</v>
      </c>
      <c r="AL9" s="18">
        <f t="shared" si="0"/>
        <v>272139</v>
      </c>
    </row>
    <row r="10" spans="1:38" x14ac:dyDescent="0.2">
      <c r="A10" s="3" t="s">
        <v>156</v>
      </c>
      <c r="B10" s="4"/>
      <c r="C10" s="4"/>
      <c r="D10" s="4"/>
      <c r="E10" s="4"/>
    </row>
    <row r="11" spans="1:38" x14ac:dyDescent="0.2">
      <c r="A11" s="6" t="s">
        <v>157</v>
      </c>
      <c r="B11" s="6" t="s">
        <v>152</v>
      </c>
      <c r="C11" s="22">
        <f>C9</f>
        <v>17000</v>
      </c>
      <c r="D11" s="22">
        <f t="shared" ref="D11:AL11" si="1">C15+D9</f>
        <v>34972</v>
      </c>
      <c r="E11" s="22">
        <f t="shared" si="1"/>
        <v>54032</v>
      </c>
      <c r="F11" s="22">
        <f t="shared" si="1"/>
        <v>74289</v>
      </c>
      <c r="G11" s="22">
        <f t="shared" si="1"/>
        <v>95844</v>
      </c>
      <c r="H11" s="22">
        <f t="shared" si="1"/>
        <v>118790</v>
      </c>
      <c r="I11" s="22">
        <f t="shared" si="1"/>
        <v>143216</v>
      </c>
      <c r="J11" s="22">
        <f t="shared" si="1"/>
        <v>169200</v>
      </c>
      <c r="K11" s="22">
        <f t="shared" si="1"/>
        <v>196814</v>
      </c>
      <c r="L11" s="22">
        <f t="shared" si="1"/>
        <v>226123</v>
      </c>
      <c r="M11" s="22">
        <f t="shared" si="1"/>
        <v>257185</v>
      </c>
      <c r="N11" s="22">
        <f t="shared" si="1"/>
        <v>290051</v>
      </c>
      <c r="O11" s="22">
        <f t="shared" si="1"/>
        <v>324763</v>
      </c>
      <c r="P11" s="22">
        <f t="shared" si="1"/>
        <v>361359</v>
      </c>
      <c r="Q11" s="22">
        <f t="shared" si="1"/>
        <v>399870</v>
      </c>
      <c r="R11" s="22">
        <f t="shared" si="1"/>
        <v>440322</v>
      </c>
      <c r="S11" s="22">
        <f t="shared" si="1"/>
        <v>482734</v>
      </c>
      <c r="T11" s="22">
        <f t="shared" si="1"/>
        <v>527119</v>
      </c>
      <c r="U11" s="22">
        <f t="shared" si="1"/>
        <v>573486</v>
      </c>
      <c r="V11" s="22">
        <f t="shared" si="1"/>
        <v>621838</v>
      </c>
      <c r="W11" s="22">
        <f t="shared" si="1"/>
        <v>672174</v>
      </c>
      <c r="X11" s="22">
        <f t="shared" si="1"/>
        <v>724490</v>
      </c>
      <c r="Y11" s="22">
        <f t="shared" si="1"/>
        <v>778776</v>
      </c>
      <c r="Z11" s="22">
        <f t="shared" si="1"/>
        <v>835021</v>
      </c>
      <c r="AA11" s="22">
        <f t="shared" si="1"/>
        <v>893210</v>
      </c>
      <c r="AB11" s="22">
        <f t="shared" si="1"/>
        <v>953328</v>
      </c>
      <c r="AC11" s="22">
        <f t="shared" si="1"/>
        <v>1015354</v>
      </c>
      <c r="AD11" s="22">
        <f t="shared" si="1"/>
        <v>1079267</v>
      </c>
      <c r="AE11" s="22">
        <f t="shared" si="1"/>
        <v>1145044</v>
      </c>
      <c r="AF11" s="22">
        <f t="shared" si="1"/>
        <v>1212658</v>
      </c>
      <c r="AG11" s="22">
        <f t="shared" si="1"/>
        <v>1282088</v>
      </c>
      <c r="AH11" s="22">
        <f t="shared" si="1"/>
        <v>1353306</v>
      </c>
      <c r="AI11" s="22">
        <f t="shared" si="1"/>
        <v>1426288</v>
      </c>
      <c r="AJ11" s="22">
        <f t="shared" si="1"/>
        <v>1501007</v>
      </c>
      <c r="AK11" s="22">
        <f t="shared" si="1"/>
        <v>1577436</v>
      </c>
      <c r="AL11" s="22">
        <f t="shared" si="1"/>
        <v>1655551</v>
      </c>
    </row>
    <row r="12" spans="1:38" x14ac:dyDescent="0.2">
      <c r="A12" s="6" t="s">
        <v>158</v>
      </c>
      <c r="B12" s="6" t="s">
        <v>152</v>
      </c>
      <c r="C12" s="21">
        <f>ROUND(C11*Assumptions!$B$18,0)</f>
        <v>595</v>
      </c>
      <c r="D12" s="21">
        <f>ROUND(D11*Assumptions!$B$18,0)</f>
        <v>1224</v>
      </c>
      <c r="E12" s="21">
        <f>ROUND(E11*Assumptions!$B$18,0)</f>
        <v>1891</v>
      </c>
      <c r="F12" s="21">
        <f>ROUND(F11*Assumptions!$B$18,0)</f>
        <v>2600</v>
      </c>
      <c r="G12" s="21">
        <f>ROUND(G11*Assumptions!$B$18,0)</f>
        <v>3355</v>
      </c>
      <c r="H12" s="21">
        <f>ROUND(H11*Assumptions!$B$18,0)</f>
        <v>4158</v>
      </c>
      <c r="I12" s="21">
        <f>ROUND(I11*Assumptions!$B$18,0)</f>
        <v>5013</v>
      </c>
      <c r="J12" s="21">
        <f>ROUND(J11*Assumptions!$B$18,0)</f>
        <v>5922</v>
      </c>
      <c r="K12" s="21">
        <f>ROUND(K11*Assumptions!$B$18,0)</f>
        <v>6888</v>
      </c>
      <c r="L12" s="21">
        <f>ROUND(L11*Assumptions!$B$18,0)</f>
        <v>7914</v>
      </c>
      <c r="M12" s="21">
        <f>ROUND(M11*Assumptions!$B$18,0)</f>
        <v>9001</v>
      </c>
      <c r="N12" s="21">
        <f>ROUND(N11*Assumptions!$B$18,0)</f>
        <v>10152</v>
      </c>
      <c r="O12" s="21">
        <f>ROUND(O11*Assumptions!$B$18,0)</f>
        <v>11367</v>
      </c>
      <c r="P12" s="21">
        <f>ROUND(P11*Assumptions!$B$18,0)</f>
        <v>12648</v>
      </c>
      <c r="Q12" s="21">
        <f>ROUND(Q11*Assumptions!$B$18,0)</f>
        <v>13995</v>
      </c>
      <c r="R12" s="21">
        <f>ROUND(R11*Assumptions!$B$18,0)</f>
        <v>15411</v>
      </c>
      <c r="S12" s="21">
        <f>ROUND(S11*Assumptions!$B$18,0)</f>
        <v>16896</v>
      </c>
      <c r="T12" s="21">
        <f>ROUND(T11*Assumptions!$B$18,0)</f>
        <v>18449</v>
      </c>
      <c r="U12" s="21">
        <f>ROUND(U11*Assumptions!$B$18,0)</f>
        <v>20072</v>
      </c>
      <c r="V12" s="21">
        <f>ROUND(V11*Assumptions!$B$18,0)</f>
        <v>21764</v>
      </c>
      <c r="W12" s="21">
        <f>ROUND(W11*Assumptions!$B$18,0)</f>
        <v>23526</v>
      </c>
      <c r="X12" s="21">
        <f>ROUND(X11*Assumptions!$B$18,0)</f>
        <v>25357</v>
      </c>
      <c r="Y12" s="21">
        <f>ROUND(Y11*Assumptions!$B$18,0)</f>
        <v>27257</v>
      </c>
      <c r="Z12" s="21">
        <f>ROUND(Z11*Assumptions!$B$18,0)</f>
        <v>29226</v>
      </c>
      <c r="AA12" s="21">
        <f>ROUND(AA11*Assumptions!$B$18,0)</f>
        <v>31262</v>
      </c>
      <c r="AB12" s="21">
        <f>ROUND(AB11*Assumptions!$B$18,0)</f>
        <v>33366</v>
      </c>
      <c r="AC12" s="21">
        <f>ROUND(AC11*Assumptions!$B$18,0)</f>
        <v>35537</v>
      </c>
      <c r="AD12" s="21">
        <f>ROUND(AD11*Assumptions!$B$18,0)</f>
        <v>37774</v>
      </c>
      <c r="AE12" s="21">
        <f>ROUND(AE11*Assumptions!$B$18,0)</f>
        <v>40077</v>
      </c>
      <c r="AF12" s="21">
        <f>ROUND(AF11*Assumptions!$B$18,0)</f>
        <v>42443</v>
      </c>
      <c r="AG12" s="21">
        <f>ROUND(AG11*Assumptions!$B$18,0)</f>
        <v>44873</v>
      </c>
      <c r="AH12" s="21">
        <f>ROUND(AH11*Assumptions!$B$18,0)</f>
        <v>47366</v>
      </c>
      <c r="AI12" s="21">
        <f>ROUND(AI11*Assumptions!$B$18,0)</f>
        <v>49920</v>
      </c>
      <c r="AJ12" s="21">
        <f>ROUND(AJ11*Assumptions!$B$18,0)</f>
        <v>52535</v>
      </c>
      <c r="AK12" s="21">
        <f>ROUND(AK11*Assumptions!$B$18,0)</f>
        <v>55210</v>
      </c>
      <c r="AL12" s="21">
        <f>ROUND(AL11*Assumptions!$B$18,0)</f>
        <v>57944</v>
      </c>
    </row>
    <row r="13" spans="1:38" x14ac:dyDescent="0.2">
      <c r="A13" s="6" t="s">
        <v>159</v>
      </c>
      <c r="B13" s="6" t="s">
        <v>152</v>
      </c>
      <c r="C13" s="21">
        <f>ROUND(C11*Assumptions!$B$19,0)</f>
        <v>136</v>
      </c>
      <c r="D13" s="21">
        <f>ROUND(D11*Assumptions!$B$19,0)</f>
        <v>280</v>
      </c>
      <c r="E13" s="21">
        <f>ROUND(E11*Assumptions!$B$19,0)</f>
        <v>432</v>
      </c>
      <c r="F13" s="21">
        <f>ROUND(F11*Assumptions!$B$19,0)</f>
        <v>594</v>
      </c>
      <c r="G13" s="21">
        <f>ROUND(G11*Assumptions!$B$19,0)</f>
        <v>767</v>
      </c>
      <c r="H13" s="21">
        <f>ROUND(H11*Assumptions!$B$19,0)</f>
        <v>950</v>
      </c>
      <c r="I13" s="21">
        <f>ROUND(I11*Assumptions!$B$19,0)</f>
        <v>1146</v>
      </c>
      <c r="J13" s="21">
        <f>ROUND(J11*Assumptions!$B$19,0)</f>
        <v>1354</v>
      </c>
      <c r="K13" s="21">
        <f>ROUND(K11*Assumptions!$B$19,0)</f>
        <v>1575</v>
      </c>
      <c r="L13" s="21">
        <f>ROUND(L11*Assumptions!$B$19,0)</f>
        <v>1809</v>
      </c>
      <c r="M13" s="21">
        <f>ROUND(M11*Assumptions!$B$19,0)</f>
        <v>2057</v>
      </c>
      <c r="N13" s="21">
        <f>ROUND(N11*Assumptions!$B$19,0)</f>
        <v>2320</v>
      </c>
      <c r="O13" s="21">
        <f>ROUND(O11*Assumptions!$B$19,0)</f>
        <v>2598</v>
      </c>
      <c r="P13" s="21">
        <f>ROUND(P11*Assumptions!$B$19,0)</f>
        <v>2891</v>
      </c>
      <c r="Q13" s="21">
        <f>ROUND(Q11*Assumptions!$B$19,0)</f>
        <v>3199</v>
      </c>
      <c r="R13" s="21">
        <f>ROUND(R11*Assumptions!$B$19,0)</f>
        <v>3523</v>
      </c>
      <c r="S13" s="21">
        <f>ROUND(S11*Assumptions!$B$19,0)</f>
        <v>3862</v>
      </c>
      <c r="T13" s="21">
        <f>ROUND(T11*Assumptions!$B$19,0)</f>
        <v>4217</v>
      </c>
      <c r="U13" s="21">
        <f>ROUND(U11*Assumptions!$B$19,0)</f>
        <v>4588</v>
      </c>
      <c r="V13" s="21">
        <f>ROUND(V11*Assumptions!$B$19,0)</f>
        <v>4975</v>
      </c>
      <c r="W13" s="21">
        <f>ROUND(W11*Assumptions!$B$19,0)</f>
        <v>5377</v>
      </c>
      <c r="X13" s="21">
        <f>ROUND(X11*Assumptions!$B$19,0)</f>
        <v>5796</v>
      </c>
      <c r="Y13" s="21">
        <f>ROUND(Y11*Assumptions!$B$19,0)</f>
        <v>6230</v>
      </c>
      <c r="Z13" s="21">
        <f>ROUND(Z11*Assumptions!$B$19,0)</f>
        <v>6680</v>
      </c>
      <c r="AA13" s="21">
        <f>ROUND(AA11*Assumptions!$B$19,0)</f>
        <v>7146</v>
      </c>
      <c r="AB13" s="21">
        <f>ROUND(AB11*Assumptions!$B$19,0)</f>
        <v>7627</v>
      </c>
      <c r="AC13" s="21">
        <f>ROUND(AC11*Assumptions!$B$19,0)</f>
        <v>8123</v>
      </c>
      <c r="AD13" s="21">
        <f>ROUND(AD11*Assumptions!$B$19,0)</f>
        <v>8634</v>
      </c>
      <c r="AE13" s="21">
        <f>ROUND(AE11*Assumptions!$B$19,0)</f>
        <v>9160</v>
      </c>
      <c r="AF13" s="21">
        <f>ROUND(AF11*Assumptions!$B$19,0)</f>
        <v>9701</v>
      </c>
      <c r="AG13" s="21">
        <f>ROUND(AG11*Assumptions!$B$19,0)</f>
        <v>10257</v>
      </c>
      <c r="AH13" s="21">
        <f>ROUND(AH11*Assumptions!$B$19,0)</f>
        <v>10826</v>
      </c>
      <c r="AI13" s="21">
        <f>ROUND(AI11*Assumptions!$B$19,0)</f>
        <v>11410</v>
      </c>
      <c r="AJ13" s="21">
        <f>ROUND(AJ11*Assumptions!$B$19,0)</f>
        <v>12008</v>
      </c>
      <c r="AK13" s="21">
        <f>ROUND(AK11*Assumptions!$B$19,0)</f>
        <v>12619</v>
      </c>
      <c r="AL13" s="21">
        <f>ROUND(AL11*Assumptions!$B$19,0)</f>
        <v>13244</v>
      </c>
    </row>
    <row r="14" spans="1:38" x14ac:dyDescent="0.2">
      <c r="A14" s="6" t="s">
        <v>160</v>
      </c>
      <c r="B14" s="6" t="s">
        <v>152</v>
      </c>
      <c r="C14" s="21">
        <f>ROUND(C11*Assumptions!$B$21,0)</f>
        <v>1360</v>
      </c>
      <c r="D14" s="21">
        <f>ROUND(D11*Assumptions!$B$21,0)</f>
        <v>2798</v>
      </c>
      <c r="E14" s="21">
        <f>ROUND(E11*Assumptions!$B$21,0)</f>
        <v>4323</v>
      </c>
      <c r="F14" s="21">
        <f>ROUND(F11*Assumptions!$B$21,0)</f>
        <v>5943</v>
      </c>
      <c r="G14" s="21">
        <f>ROUND(G11*Assumptions!$B$21,0)</f>
        <v>7668</v>
      </c>
      <c r="H14" s="21">
        <f>ROUND(H11*Assumptions!$B$21,0)</f>
        <v>9503</v>
      </c>
      <c r="I14" s="21">
        <f>ROUND(I11*Assumptions!$B$21,0)</f>
        <v>11457</v>
      </c>
      <c r="J14" s="21">
        <f>ROUND(J11*Assumptions!$B$21,0)</f>
        <v>13536</v>
      </c>
      <c r="K14" s="21">
        <f>ROUND(K11*Assumptions!$B$21,0)</f>
        <v>15745</v>
      </c>
      <c r="L14" s="21">
        <f>ROUND(L11*Assumptions!$B$21,0)</f>
        <v>18090</v>
      </c>
      <c r="M14" s="21">
        <f>ROUND(M11*Assumptions!$B$21,0)</f>
        <v>20575</v>
      </c>
      <c r="N14" s="21">
        <f>ROUND(N11*Assumptions!$B$21,0)</f>
        <v>23204</v>
      </c>
      <c r="O14" s="21">
        <f>ROUND(O11*Assumptions!$B$21,0)</f>
        <v>25981</v>
      </c>
      <c r="P14" s="21">
        <f>ROUND(P11*Assumptions!$B$21,0)</f>
        <v>28909</v>
      </c>
      <c r="Q14" s="21">
        <f>ROUND(Q11*Assumptions!$B$21,0)</f>
        <v>31990</v>
      </c>
      <c r="R14" s="21">
        <f>ROUND(R11*Assumptions!$B$21,0)</f>
        <v>35226</v>
      </c>
      <c r="S14" s="21">
        <f>ROUND(S11*Assumptions!$B$21,0)</f>
        <v>38619</v>
      </c>
      <c r="T14" s="21">
        <f>ROUND(T11*Assumptions!$B$21,0)</f>
        <v>42170</v>
      </c>
      <c r="U14" s="21">
        <f>ROUND(U11*Assumptions!$B$21,0)</f>
        <v>45879</v>
      </c>
      <c r="V14" s="21">
        <f>ROUND(V11*Assumptions!$B$21,0)</f>
        <v>49747</v>
      </c>
      <c r="W14" s="21">
        <f>ROUND(W11*Assumptions!$B$21,0)</f>
        <v>53774</v>
      </c>
      <c r="X14" s="21">
        <f>ROUND(X11*Assumptions!$B$21,0)</f>
        <v>57959</v>
      </c>
      <c r="Y14" s="21">
        <f>ROUND(Y11*Assumptions!$B$21,0)</f>
        <v>62302</v>
      </c>
      <c r="Z14" s="21">
        <f>ROUND(Z11*Assumptions!$B$21,0)</f>
        <v>66802</v>
      </c>
      <c r="AA14" s="21">
        <f>ROUND(AA11*Assumptions!$B$21,0)</f>
        <v>71457</v>
      </c>
      <c r="AB14" s="21">
        <f>ROUND(AB11*Assumptions!$B$21,0)</f>
        <v>76266</v>
      </c>
      <c r="AC14" s="21">
        <f>ROUND(AC11*Assumptions!$B$21,0)</f>
        <v>81228</v>
      </c>
      <c r="AD14" s="21">
        <f>ROUND(AD11*Assumptions!$B$21,0)</f>
        <v>86341</v>
      </c>
      <c r="AE14" s="21">
        <f>ROUND(AE11*Assumptions!$B$21,0)</f>
        <v>91604</v>
      </c>
      <c r="AF14" s="21">
        <f>ROUND(AF11*Assumptions!$B$21,0)</f>
        <v>97013</v>
      </c>
      <c r="AG14" s="21">
        <f>ROUND(AG11*Assumptions!$B$21,0)</f>
        <v>102567</v>
      </c>
      <c r="AH14" s="21">
        <f>ROUND(AH11*Assumptions!$B$21,0)</f>
        <v>108264</v>
      </c>
      <c r="AI14" s="21">
        <f>ROUND(AI11*Assumptions!$B$21,0)</f>
        <v>114103</v>
      </c>
      <c r="AJ14" s="21">
        <f>ROUND(AJ11*Assumptions!$B$21,0)</f>
        <v>120081</v>
      </c>
      <c r="AK14" s="21">
        <f>ROUND(AK11*Assumptions!$B$21,0)</f>
        <v>126195</v>
      </c>
      <c r="AL14" s="21">
        <f>ROUND(AL11*Assumptions!$B$21,0)</f>
        <v>132444</v>
      </c>
    </row>
    <row r="15" spans="1:38" x14ac:dyDescent="0.2">
      <c r="A15" s="17" t="s">
        <v>161</v>
      </c>
      <c r="B15" s="17" t="s">
        <v>152</v>
      </c>
      <c r="C15" s="18">
        <f t="shared" ref="C15:AL15" si="2">C11-C12-C13-C14</f>
        <v>14909</v>
      </c>
      <c r="D15" s="18">
        <f t="shared" si="2"/>
        <v>30670</v>
      </c>
      <c r="E15" s="18">
        <f t="shared" si="2"/>
        <v>47386</v>
      </c>
      <c r="F15" s="18">
        <f t="shared" si="2"/>
        <v>65152</v>
      </c>
      <c r="G15" s="18">
        <f t="shared" si="2"/>
        <v>84054</v>
      </c>
      <c r="H15" s="18">
        <f t="shared" si="2"/>
        <v>104179</v>
      </c>
      <c r="I15" s="18">
        <f t="shared" si="2"/>
        <v>125600</v>
      </c>
      <c r="J15" s="18">
        <f t="shared" si="2"/>
        <v>148388</v>
      </c>
      <c r="K15" s="18">
        <f t="shared" si="2"/>
        <v>172606</v>
      </c>
      <c r="L15" s="18">
        <f t="shared" si="2"/>
        <v>198310</v>
      </c>
      <c r="M15" s="18">
        <f t="shared" si="2"/>
        <v>225552</v>
      </c>
      <c r="N15" s="18">
        <f t="shared" si="2"/>
        <v>254375</v>
      </c>
      <c r="O15" s="18">
        <f t="shared" si="2"/>
        <v>284817</v>
      </c>
      <c r="P15" s="18">
        <f t="shared" si="2"/>
        <v>316911</v>
      </c>
      <c r="Q15" s="18">
        <f t="shared" si="2"/>
        <v>350686</v>
      </c>
      <c r="R15" s="18">
        <f t="shared" si="2"/>
        <v>386162</v>
      </c>
      <c r="S15" s="18">
        <f t="shared" si="2"/>
        <v>423357</v>
      </c>
      <c r="T15" s="18">
        <f t="shared" si="2"/>
        <v>462283</v>
      </c>
      <c r="U15" s="18">
        <f t="shared" si="2"/>
        <v>502947</v>
      </c>
      <c r="V15" s="18">
        <f t="shared" si="2"/>
        <v>545352</v>
      </c>
      <c r="W15" s="18">
        <f t="shared" si="2"/>
        <v>589497</v>
      </c>
      <c r="X15" s="18">
        <f t="shared" si="2"/>
        <v>635378</v>
      </c>
      <c r="Y15" s="18">
        <f t="shared" si="2"/>
        <v>682987</v>
      </c>
      <c r="Z15" s="18">
        <f t="shared" si="2"/>
        <v>732313</v>
      </c>
      <c r="AA15" s="18">
        <f t="shared" si="2"/>
        <v>783345</v>
      </c>
      <c r="AB15" s="18">
        <f t="shared" si="2"/>
        <v>836069</v>
      </c>
      <c r="AC15" s="18">
        <f t="shared" si="2"/>
        <v>890466</v>
      </c>
      <c r="AD15" s="18">
        <f t="shared" si="2"/>
        <v>946518</v>
      </c>
      <c r="AE15" s="18">
        <f t="shared" si="2"/>
        <v>1004203</v>
      </c>
      <c r="AF15" s="18">
        <f t="shared" si="2"/>
        <v>1063501</v>
      </c>
      <c r="AG15" s="18">
        <f t="shared" si="2"/>
        <v>1124391</v>
      </c>
      <c r="AH15" s="18">
        <f t="shared" si="2"/>
        <v>1186850</v>
      </c>
      <c r="AI15" s="18">
        <f t="shared" si="2"/>
        <v>1250855</v>
      </c>
      <c r="AJ15" s="18">
        <f t="shared" si="2"/>
        <v>1316383</v>
      </c>
      <c r="AK15" s="18">
        <f t="shared" si="2"/>
        <v>1383412</v>
      </c>
      <c r="AL15" s="18">
        <f t="shared" si="2"/>
        <v>1451919</v>
      </c>
    </row>
    <row r="16" spans="1:38" x14ac:dyDescent="0.2">
      <c r="A16" s="3" t="s">
        <v>162</v>
      </c>
      <c r="B16" s="4"/>
      <c r="C16" s="4"/>
      <c r="D16" s="4"/>
      <c r="E16" s="4"/>
    </row>
    <row r="17" spans="1:38" x14ac:dyDescent="0.2">
      <c r="A17" s="6" t="s">
        <v>163</v>
      </c>
      <c r="B17" s="6" t="s">
        <v>152</v>
      </c>
      <c r="C17" s="22">
        <f>0</f>
        <v>0</v>
      </c>
      <c r="D17" s="22">
        <f t="shared" ref="D17:AL17" si="3">C21</f>
        <v>553</v>
      </c>
      <c r="E17" s="22">
        <f t="shared" si="3"/>
        <v>1652</v>
      </c>
      <c r="F17" s="22">
        <f t="shared" si="3"/>
        <v>3295</v>
      </c>
      <c r="G17" s="22">
        <f t="shared" si="3"/>
        <v>5482</v>
      </c>
      <c r="H17" s="22">
        <f t="shared" si="3"/>
        <v>8218</v>
      </c>
      <c r="I17" s="22">
        <f t="shared" si="3"/>
        <v>11509</v>
      </c>
      <c r="J17" s="22">
        <f t="shared" si="3"/>
        <v>15366</v>
      </c>
      <c r="K17" s="22">
        <f t="shared" si="3"/>
        <v>19798</v>
      </c>
      <c r="L17" s="22">
        <f t="shared" si="3"/>
        <v>24818</v>
      </c>
      <c r="M17" s="22">
        <f t="shared" si="3"/>
        <v>30440</v>
      </c>
      <c r="N17" s="22">
        <f t="shared" si="3"/>
        <v>36680</v>
      </c>
      <c r="O17" s="22">
        <f t="shared" si="3"/>
        <v>43553</v>
      </c>
      <c r="P17" s="22">
        <f t="shared" si="3"/>
        <v>51076</v>
      </c>
      <c r="Q17" s="22">
        <f t="shared" si="3"/>
        <v>59264</v>
      </c>
      <c r="R17" s="22">
        <f t="shared" si="3"/>
        <v>68131</v>
      </c>
      <c r="S17" s="22">
        <f t="shared" si="3"/>
        <v>77694</v>
      </c>
      <c r="T17" s="22">
        <f t="shared" si="3"/>
        <v>87968</v>
      </c>
      <c r="U17" s="22">
        <f t="shared" si="3"/>
        <v>98968</v>
      </c>
      <c r="V17" s="22">
        <f t="shared" si="3"/>
        <v>110707</v>
      </c>
      <c r="W17" s="22">
        <f t="shared" si="3"/>
        <v>123198</v>
      </c>
      <c r="X17" s="22">
        <f t="shared" si="3"/>
        <v>136454</v>
      </c>
      <c r="Y17" s="22">
        <f t="shared" si="3"/>
        <v>150484</v>
      </c>
      <c r="Z17" s="22">
        <f t="shared" si="3"/>
        <v>165299</v>
      </c>
      <c r="AA17" s="22">
        <f t="shared" si="3"/>
        <v>180908</v>
      </c>
      <c r="AB17" s="22">
        <f t="shared" si="3"/>
        <v>197318</v>
      </c>
      <c r="AC17" s="22">
        <f t="shared" si="3"/>
        <v>214536</v>
      </c>
      <c r="AD17" s="22">
        <f t="shared" si="3"/>
        <v>232568</v>
      </c>
      <c r="AE17" s="22">
        <f t="shared" si="3"/>
        <v>251418</v>
      </c>
      <c r="AF17" s="22">
        <f t="shared" si="3"/>
        <v>271090</v>
      </c>
      <c r="AG17" s="22">
        <f t="shared" si="3"/>
        <v>291585</v>
      </c>
      <c r="AH17" s="22">
        <f t="shared" si="3"/>
        <v>312906</v>
      </c>
      <c r="AI17" s="22">
        <f t="shared" si="3"/>
        <v>335053</v>
      </c>
      <c r="AJ17" s="22">
        <f t="shared" si="3"/>
        <v>358025</v>
      </c>
      <c r="AK17" s="22">
        <f t="shared" si="3"/>
        <v>381821</v>
      </c>
      <c r="AL17" s="22">
        <f t="shared" si="3"/>
        <v>406438</v>
      </c>
    </row>
    <row r="18" spans="1:38" x14ac:dyDescent="0.2">
      <c r="A18" s="6" t="s">
        <v>164</v>
      </c>
      <c r="B18" s="6" t="s">
        <v>152</v>
      </c>
      <c r="C18" s="22">
        <f t="shared" ref="C18:AL18" si="4">C12</f>
        <v>595</v>
      </c>
      <c r="D18" s="22">
        <f t="shared" si="4"/>
        <v>1224</v>
      </c>
      <c r="E18" s="22">
        <f t="shared" si="4"/>
        <v>1891</v>
      </c>
      <c r="F18" s="22">
        <f t="shared" si="4"/>
        <v>2600</v>
      </c>
      <c r="G18" s="22">
        <f t="shared" si="4"/>
        <v>3355</v>
      </c>
      <c r="H18" s="22">
        <f t="shared" si="4"/>
        <v>4158</v>
      </c>
      <c r="I18" s="22">
        <f t="shared" si="4"/>
        <v>5013</v>
      </c>
      <c r="J18" s="22">
        <f t="shared" si="4"/>
        <v>5922</v>
      </c>
      <c r="K18" s="22">
        <f t="shared" si="4"/>
        <v>6888</v>
      </c>
      <c r="L18" s="22">
        <f t="shared" si="4"/>
        <v>7914</v>
      </c>
      <c r="M18" s="22">
        <f t="shared" si="4"/>
        <v>9001</v>
      </c>
      <c r="N18" s="22">
        <f t="shared" si="4"/>
        <v>10152</v>
      </c>
      <c r="O18" s="22">
        <f t="shared" si="4"/>
        <v>11367</v>
      </c>
      <c r="P18" s="22">
        <f t="shared" si="4"/>
        <v>12648</v>
      </c>
      <c r="Q18" s="22">
        <f t="shared" si="4"/>
        <v>13995</v>
      </c>
      <c r="R18" s="22">
        <f t="shared" si="4"/>
        <v>15411</v>
      </c>
      <c r="S18" s="22">
        <f t="shared" si="4"/>
        <v>16896</v>
      </c>
      <c r="T18" s="22">
        <f t="shared" si="4"/>
        <v>18449</v>
      </c>
      <c r="U18" s="22">
        <f t="shared" si="4"/>
        <v>20072</v>
      </c>
      <c r="V18" s="22">
        <f t="shared" si="4"/>
        <v>21764</v>
      </c>
      <c r="W18" s="22">
        <f t="shared" si="4"/>
        <v>23526</v>
      </c>
      <c r="X18" s="22">
        <f t="shared" si="4"/>
        <v>25357</v>
      </c>
      <c r="Y18" s="22">
        <f t="shared" si="4"/>
        <v>27257</v>
      </c>
      <c r="Z18" s="22">
        <f t="shared" si="4"/>
        <v>29226</v>
      </c>
      <c r="AA18" s="22">
        <f t="shared" si="4"/>
        <v>31262</v>
      </c>
      <c r="AB18" s="22">
        <f t="shared" si="4"/>
        <v>33366</v>
      </c>
      <c r="AC18" s="22">
        <f t="shared" si="4"/>
        <v>35537</v>
      </c>
      <c r="AD18" s="22">
        <f t="shared" si="4"/>
        <v>37774</v>
      </c>
      <c r="AE18" s="22">
        <f t="shared" si="4"/>
        <v>40077</v>
      </c>
      <c r="AF18" s="22">
        <f t="shared" si="4"/>
        <v>42443</v>
      </c>
      <c r="AG18" s="22">
        <f t="shared" si="4"/>
        <v>44873</v>
      </c>
      <c r="AH18" s="22">
        <f t="shared" si="4"/>
        <v>47366</v>
      </c>
      <c r="AI18" s="22">
        <f t="shared" si="4"/>
        <v>49920</v>
      </c>
      <c r="AJ18" s="22">
        <f t="shared" si="4"/>
        <v>52535</v>
      </c>
      <c r="AK18" s="22">
        <f t="shared" si="4"/>
        <v>55210</v>
      </c>
      <c r="AL18" s="22">
        <f t="shared" si="4"/>
        <v>57944</v>
      </c>
    </row>
    <row r="19" spans="1:38" x14ac:dyDescent="0.2">
      <c r="A19" s="6" t="s">
        <v>165</v>
      </c>
      <c r="B19" s="6" t="s">
        <v>152</v>
      </c>
      <c r="C19" s="21">
        <f>ROUND((C17+C18)*Assumptions!$B$20,0)</f>
        <v>12</v>
      </c>
      <c r="D19" s="21">
        <f>ROUND((D17+D18)*Assumptions!$B$20,0)</f>
        <v>36</v>
      </c>
      <c r="E19" s="21">
        <f>ROUND((E17+E18)*Assumptions!$B$20,0)</f>
        <v>71</v>
      </c>
      <c r="F19" s="21">
        <f>ROUND((F17+F18)*Assumptions!$B$20,0)</f>
        <v>118</v>
      </c>
      <c r="G19" s="21">
        <f>ROUND((G17+G18)*Assumptions!$B$20,0)</f>
        <v>177</v>
      </c>
      <c r="H19" s="21">
        <f>ROUND((H17+H18)*Assumptions!$B$20,0)</f>
        <v>248</v>
      </c>
      <c r="I19" s="21">
        <f>ROUND((I17+I18)*Assumptions!$B$20,0)</f>
        <v>330</v>
      </c>
      <c r="J19" s="21">
        <f>ROUND((J17+J18)*Assumptions!$B$20,0)</f>
        <v>426</v>
      </c>
      <c r="K19" s="21">
        <f>ROUND((K17+K18)*Assumptions!$B$20,0)</f>
        <v>534</v>
      </c>
      <c r="L19" s="21">
        <f>ROUND((L17+L18)*Assumptions!$B$20,0)</f>
        <v>655</v>
      </c>
      <c r="M19" s="21">
        <f>ROUND((M17+M18)*Assumptions!$B$20,0)</f>
        <v>789</v>
      </c>
      <c r="N19" s="21">
        <f>ROUND((N17+N18)*Assumptions!$B$20,0)</f>
        <v>937</v>
      </c>
      <c r="O19" s="21">
        <f>ROUND((O17+O18)*Assumptions!$B$20,0)</f>
        <v>1098</v>
      </c>
      <c r="P19" s="21">
        <f>ROUND((P17+P18)*Assumptions!$B$20,0)</f>
        <v>1274</v>
      </c>
      <c r="Q19" s="21">
        <f>ROUND((Q17+Q18)*Assumptions!$B$20,0)</f>
        <v>1465</v>
      </c>
      <c r="R19" s="21">
        <f>ROUND((R17+R18)*Assumptions!$B$20,0)</f>
        <v>1671</v>
      </c>
      <c r="S19" s="21">
        <f>ROUND((S17+S18)*Assumptions!$B$20,0)</f>
        <v>1892</v>
      </c>
      <c r="T19" s="21">
        <f>ROUND((T17+T18)*Assumptions!$B$20,0)</f>
        <v>2128</v>
      </c>
      <c r="U19" s="21">
        <f>ROUND((U17+U18)*Assumptions!$B$20,0)</f>
        <v>2381</v>
      </c>
      <c r="V19" s="21">
        <f>ROUND((V17+V18)*Assumptions!$B$20,0)</f>
        <v>2649</v>
      </c>
      <c r="W19" s="21">
        <f>ROUND((W17+W18)*Assumptions!$B$20,0)</f>
        <v>2934</v>
      </c>
      <c r="X19" s="21">
        <f>ROUND((X17+X18)*Assumptions!$B$20,0)</f>
        <v>3236</v>
      </c>
      <c r="Y19" s="21">
        <f>ROUND((Y17+Y18)*Assumptions!$B$20,0)</f>
        <v>3555</v>
      </c>
      <c r="Z19" s="21">
        <f>ROUND((Z17+Z18)*Assumptions!$B$20,0)</f>
        <v>3891</v>
      </c>
      <c r="AA19" s="21">
        <f>ROUND((AA17+AA18)*Assumptions!$B$20,0)</f>
        <v>4243</v>
      </c>
      <c r="AB19" s="21">
        <f>ROUND((AB17+AB18)*Assumptions!$B$20,0)</f>
        <v>4614</v>
      </c>
      <c r="AC19" s="21">
        <f>ROUND((AC17+AC18)*Assumptions!$B$20,0)</f>
        <v>5001</v>
      </c>
      <c r="AD19" s="21">
        <f>ROUND((AD17+AD18)*Assumptions!$B$20,0)</f>
        <v>5407</v>
      </c>
      <c r="AE19" s="21">
        <f>ROUND((AE17+AE18)*Assumptions!$B$20,0)</f>
        <v>5830</v>
      </c>
      <c r="AF19" s="21">
        <f>ROUND((AF17+AF18)*Assumptions!$B$20,0)</f>
        <v>6271</v>
      </c>
      <c r="AG19" s="21">
        <f>ROUND((AG17+AG18)*Assumptions!$B$20,0)</f>
        <v>6729</v>
      </c>
      <c r="AH19" s="21">
        <f>ROUND((AH17+AH18)*Assumptions!$B$20,0)</f>
        <v>7205</v>
      </c>
      <c r="AI19" s="21">
        <f>ROUND((AI17+AI18)*Assumptions!$B$20,0)</f>
        <v>7699</v>
      </c>
      <c r="AJ19" s="21">
        <f>ROUND((AJ17+AJ18)*Assumptions!$B$20,0)</f>
        <v>8211</v>
      </c>
      <c r="AK19" s="21">
        <f>ROUND((AK17+AK18)*Assumptions!$B$20,0)</f>
        <v>8741</v>
      </c>
      <c r="AL19" s="21">
        <f>ROUND((AL17+AL18)*Assumptions!$B$20,0)</f>
        <v>9288</v>
      </c>
    </row>
    <row r="20" spans="1:38" x14ac:dyDescent="0.2">
      <c r="A20" s="6" t="s">
        <v>160</v>
      </c>
      <c r="B20" s="6" t="s">
        <v>152</v>
      </c>
      <c r="C20" s="21">
        <f>ROUND((C17+C18)*Assumptions!$B$22,0)</f>
        <v>30</v>
      </c>
      <c r="D20" s="21">
        <f>ROUND((D17+D18)*Assumptions!$B$22,0)</f>
        <v>89</v>
      </c>
      <c r="E20" s="21">
        <f>ROUND((E17+E18)*Assumptions!$B$22,0)</f>
        <v>177</v>
      </c>
      <c r="F20" s="21">
        <f>ROUND((F17+F18)*Assumptions!$B$22,0)</f>
        <v>295</v>
      </c>
      <c r="G20" s="21">
        <f>ROUND((G17+G18)*Assumptions!$B$22,0)</f>
        <v>442</v>
      </c>
      <c r="H20" s="21">
        <f>ROUND((H17+H18)*Assumptions!$B$22,0)</f>
        <v>619</v>
      </c>
      <c r="I20" s="21">
        <f>ROUND((I17+I18)*Assumptions!$B$22,0)</f>
        <v>826</v>
      </c>
      <c r="J20" s="21">
        <f>ROUND((J17+J18)*Assumptions!$B$22,0)</f>
        <v>1064</v>
      </c>
      <c r="K20" s="21">
        <f>ROUND((K17+K18)*Assumptions!$B$22,0)</f>
        <v>1334</v>
      </c>
      <c r="L20" s="21">
        <f>ROUND((L17+L18)*Assumptions!$B$22,0)</f>
        <v>1637</v>
      </c>
      <c r="M20" s="21">
        <f>ROUND((M17+M18)*Assumptions!$B$22,0)</f>
        <v>1972</v>
      </c>
      <c r="N20" s="21">
        <f>ROUND((N17+N18)*Assumptions!$B$22,0)</f>
        <v>2342</v>
      </c>
      <c r="O20" s="21">
        <f>ROUND((O17+O18)*Assumptions!$B$22,0)</f>
        <v>2746</v>
      </c>
      <c r="P20" s="21">
        <f>ROUND((P17+P18)*Assumptions!$B$22,0)</f>
        <v>3186</v>
      </c>
      <c r="Q20" s="21">
        <f>ROUND((Q17+Q18)*Assumptions!$B$22,0)</f>
        <v>3663</v>
      </c>
      <c r="R20" s="21">
        <f>ROUND((R17+R18)*Assumptions!$B$22,0)</f>
        <v>4177</v>
      </c>
      <c r="S20" s="21">
        <f>ROUND((S17+S18)*Assumptions!$B$22,0)</f>
        <v>4730</v>
      </c>
      <c r="T20" s="21">
        <f>ROUND((T17+T18)*Assumptions!$B$22,0)</f>
        <v>5321</v>
      </c>
      <c r="U20" s="21">
        <f>ROUND((U17+U18)*Assumptions!$B$22,0)</f>
        <v>5952</v>
      </c>
      <c r="V20" s="21">
        <f>ROUND((V17+V18)*Assumptions!$B$22,0)</f>
        <v>6624</v>
      </c>
      <c r="W20" s="21">
        <f>ROUND((W17+W18)*Assumptions!$B$22,0)</f>
        <v>7336</v>
      </c>
      <c r="X20" s="21">
        <f>ROUND((X17+X18)*Assumptions!$B$22,0)</f>
        <v>8091</v>
      </c>
      <c r="Y20" s="21">
        <f>ROUND((Y17+Y18)*Assumptions!$B$22,0)</f>
        <v>8887</v>
      </c>
      <c r="Z20" s="21">
        <f>ROUND((Z17+Z18)*Assumptions!$B$22,0)</f>
        <v>9726</v>
      </c>
      <c r="AA20" s="21">
        <f>ROUND((AA17+AA18)*Assumptions!$B$22,0)</f>
        <v>10609</v>
      </c>
      <c r="AB20" s="21">
        <f>ROUND((AB17+AB18)*Assumptions!$B$22,0)</f>
        <v>11534</v>
      </c>
      <c r="AC20" s="21">
        <f>ROUND((AC17+AC18)*Assumptions!$B$22,0)</f>
        <v>12504</v>
      </c>
      <c r="AD20" s="21">
        <f>ROUND((AD17+AD18)*Assumptions!$B$22,0)</f>
        <v>13517</v>
      </c>
      <c r="AE20" s="21">
        <f>ROUND((AE17+AE18)*Assumptions!$B$22,0)</f>
        <v>14575</v>
      </c>
      <c r="AF20" s="21">
        <f>ROUND((AF17+AF18)*Assumptions!$B$22,0)</f>
        <v>15677</v>
      </c>
      <c r="AG20" s="21">
        <f>ROUND((AG17+AG18)*Assumptions!$B$22,0)</f>
        <v>16823</v>
      </c>
      <c r="AH20" s="21">
        <f>ROUND((AH17+AH18)*Assumptions!$B$22,0)</f>
        <v>18014</v>
      </c>
      <c r="AI20" s="21">
        <f>ROUND((AI17+AI18)*Assumptions!$B$22,0)</f>
        <v>19249</v>
      </c>
      <c r="AJ20" s="21">
        <f>ROUND((AJ17+AJ18)*Assumptions!$B$22,0)</f>
        <v>20528</v>
      </c>
      <c r="AK20" s="21">
        <f>ROUND((AK17+AK18)*Assumptions!$B$22,0)</f>
        <v>21852</v>
      </c>
      <c r="AL20" s="21">
        <f>ROUND((AL17+AL18)*Assumptions!$B$22,0)</f>
        <v>23219</v>
      </c>
    </row>
    <row r="21" spans="1:38" x14ac:dyDescent="0.2">
      <c r="A21" s="17" t="s">
        <v>166</v>
      </c>
      <c r="B21" s="17" t="s">
        <v>152</v>
      </c>
      <c r="C21" s="18">
        <f t="shared" ref="C21:AL21" si="5">C17+C18-C19-C20</f>
        <v>553</v>
      </c>
      <c r="D21" s="18">
        <f t="shared" si="5"/>
        <v>1652</v>
      </c>
      <c r="E21" s="18">
        <f t="shared" si="5"/>
        <v>3295</v>
      </c>
      <c r="F21" s="18">
        <f t="shared" si="5"/>
        <v>5482</v>
      </c>
      <c r="G21" s="18">
        <f t="shared" si="5"/>
        <v>8218</v>
      </c>
      <c r="H21" s="18">
        <f t="shared" si="5"/>
        <v>11509</v>
      </c>
      <c r="I21" s="18">
        <f t="shared" si="5"/>
        <v>15366</v>
      </c>
      <c r="J21" s="18">
        <f t="shared" si="5"/>
        <v>19798</v>
      </c>
      <c r="K21" s="18">
        <f t="shared" si="5"/>
        <v>24818</v>
      </c>
      <c r="L21" s="18">
        <f t="shared" si="5"/>
        <v>30440</v>
      </c>
      <c r="M21" s="18">
        <f t="shared" si="5"/>
        <v>36680</v>
      </c>
      <c r="N21" s="18">
        <f t="shared" si="5"/>
        <v>43553</v>
      </c>
      <c r="O21" s="18">
        <f t="shared" si="5"/>
        <v>51076</v>
      </c>
      <c r="P21" s="18">
        <f t="shared" si="5"/>
        <v>59264</v>
      </c>
      <c r="Q21" s="18">
        <f t="shared" si="5"/>
        <v>68131</v>
      </c>
      <c r="R21" s="18">
        <f t="shared" si="5"/>
        <v>77694</v>
      </c>
      <c r="S21" s="18">
        <f t="shared" si="5"/>
        <v>87968</v>
      </c>
      <c r="T21" s="18">
        <f t="shared" si="5"/>
        <v>98968</v>
      </c>
      <c r="U21" s="18">
        <f t="shared" si="5"/>
        <v>110707</v>
      </c>
      <c r="V21" s="18">
        <f t="shared" si="5"/>
        <v>123198</v>
      </c>
      <c r="W21" s="18">
        <f t="shared" si="5"/>
        <v>136454</v>
      </c>
      <c r="X21" s="18">
        <f t="shared" si="5"/>
        <v>150484</v>
      </c>
      <c r="Y21" s="18">
        <f t="shared" si="5"/>
        <v>165299</v>
      </c>
      <c r="Z21" s="18">
        <f t="shared" si="5"/>
        <v>180908</v>
      </c>
      <c r="AA21" s="18">
        <f t="shared" si="5"/>
        <v>197318</v>
      </c>
      <c r="AB21" s="18">
        <f t="shared" si="5"/>
        <v>214536</v>
      </c>
      <c r="AC21" s="18">
        <f t="shared" si="5"/>
        <v>232568</v>
      </c>
      <c r="AD21" s="18">
        <f t="shared" si="5"/>
        <v>251418</v>
      </c>
      <c r="AE21" s="18">
        <f t="shared" si="5"/>
        <v>271090</v>
      </c>
      <c r="AF21" s="18">
        <f t="shared" si="5"/>
        <v>291585</v>
      </c>
      <c r="AG21" s="18">
        <f t="shared" si="5"/>
        <v>312906</v>
      </c>
      <c r="AH21" s="18">
        <f t="shared" si="5"/>
        <v>335053</v>
      </c>
      <c r="AI21" s="18">
        <f t="shared" si="5"/>
        <v>358025</v>
      </c>
      <c r="AJ21" s="18">
        <f t="shared" si="5"/>
        <v>381821</v>
      </c>
      <c r="AK21" s="18">
        <f t="shared" si="5"/>
        <v>406438</v>
      </c>
      <c r="AL21" s="18">
        <f t="shared" si="5"/>
        <v>431875</v>
      </c>
    </row>
    <row r="22" spans="1:38" x14ac:dyDescent="0.2">
      <c r="A22" s="3" t="s">
        <v>167</v>
      </c>
      <c r="B22" s="4"/>
      <c r="C22" s="4"/>
      <c r="D22" s="4"/>
      <c r="E22" s="4"/>
    </row>
    <row r="23" spans="1:38" x14ac:dyDescent="0.2">
      <c r="A23" s="6" t="s">
        <v>168</v>
      </c>
      <c r="B23" s="6" t="s">
        <v>152</v>
      </c>
      <c r="C23" s="22">
        <f>0</f>
        <v>0</v>
      </c>
      <c r="D23" s="22">
        <f t="shared" ref="D23:AL23" si="6">C26</f>
        <v>144</v>
      </c>
      <c r="E23" s="22">
        <f t="shared" si="6"/>
        <v>446</v>
      </c>
      <c r="F23" s="22">
        <f t="shared" si="6"/>
        <v>921</v>
      </c>
      <c r="G23" s="22">
        <f t="shared" si="6"/>
        <v>1584</v>
      </c>
      <c r="H23" s="22">
        <f t="shared" si="6"/>
        <v>2452</v>
      </c>
      <c r="I23" s="22">
        <f t="shared" si="6"/>
        <v>3540</v>
      </c>
      <c r="J23" s="22">
        <f t="shared" si="6"/>
        <v>4866</v>
      </c>
      <c r="K23" s="22">
        <f t="shared" si="6"/>
        <v>6447</v>
      </c>
      <c r="L23" s="22">
        <f t="shared" si="6"/>
        <v>8299</v>
      </c>
      <c r="M23" s="22">
        <f t="shared" si="6"/>
        <v>10440</v>
      </c>
      <c r="N23" s="22">
        <f t="shared" si="6"/>
        <v>12887</v>
      </c>
      <c r="O23" s="22">
        <f t="shared" si="6"/>
        <v>15660</v>
      </c>
      <c r="P23" s="22">
        <f t="shared" si="6"/>
        <v>18775</v>
      </c>
      <c r="Q23" s="22">
        <f t="shared" si="6"/>
        <v>22252</v>
      </c>
      <c r="R23" s="22">
        <f t="shared" si="6"/>
        <v>26109</v>
      </c>
      <c r="S23" s="22">
        <f t="shared" si="6"/>
        <v>30364</v>
      </c>
      <c r="T23" s="22">
        <f t="shared" si="6"/>
        <v>35034</v>
      </c>
      <c r="U23" s="22">
        <f t="shared" si="6"/>
        <v>40138</v>
      </c>
      <c r="V23" s="22">
        <f t="shared" si="6"/>
        <v>45694</v>
      </c>
      <c r="W23" s="22">
        <f t="shared" si="6"/>
        <v>51718</v>
      </c>
      <c r="X23" s="22">
        <f t="shared" si="6"/>
        <v>58228</v>
      </c>
      <c r="Y23" s="22">
        <f t="shared" si="6"/>
        <v>65242</v>
      </c>
      <c r="Z23" s="22">
        <f t="shared" si="6"/>
        <v>72776</v>
      </c>
      <c r="AA23" s="22">
        <f t="shared" si="6"/>
        <v>80847</v>
      </c>
      <c r="AB23" s="22">
        <f t="shared" si="6"/>
        <v>89469</v>
      </c>
      <c r="AC23" s="22">
        <f t="shared" si="6"/>
        <v>98659</v>
      </c>
      <c r="AD23" s="22">
        <f t="shared" si="6"/>
        <v>108430</v>
      </c>
      <c r="AE23" s="22">
        <f t="shared" si="6"/>
        <v>118797</v>
      </c>
      <c r="AF23" s="22">
        <f t="shared" si="6"/>
        <v>129773</v>
      </c>
      <c r="AG23" s="22">
        <f t="shared" si="6"/>
        <v>141373</v>
      </c>
      <c r="AH23" s="22">
        <f t="shared" si="6"/>
        <v>153608</v>
      </c>
      <c r="AI23" s="22">
        <f t="shared" si="6"/>
        <v>166490</v>
      </c>
      <c r="AJ23" s="22">
        <f t="shared" si="6"/>
        <v>180031</v>
      </c>
      <c r="AK23" s="22">
        <f t="shared" si="6"/>
        <v>194242</v>
      </c>
      <c r="AL23" s="22">
        <f t="shared" si="6"/>
        <v>209134</v>
      </c>
    </row>
    <row r="24" spans="1:38" x14ac:dyDescent="0.2">
      <c r="A24" s="6" t="s">
        <v>169</v>
      </c>
      <c r="B24" s="6" t="s">
        <v>152</v>
      </c>
      <c r="C24" s="22">
        <f t="shared" ref="C24:AL24" si="7">C13+C19</f>
        <v>148</v>
      </c>
      <c r="D24" s="22">
        <f t="shared" si="7"/>
        <v>316</v>
      </c>
      <c r="E24" s="22">
        <f t="shared" si="7"/>
        <v>503</v>
      </c>
      <c r="F24" s="22">
        <f t="shared" si="7"/>
        <v>712</v>
      </c>
      <c r="G24" s="22">
        <f t="shared" si="7"/>
        <v>944</v>
      </c>
      <c r="H24" s="22">
        <f t="shared" si="7"/>
        <v>1198</v>
      </c>
      <c r="I24" s="22">
        <f t="shared" si="7"/>
        <v>1476</v>
      </c>
      <c r="J24" s="22">
        <f t="shared" si="7"/>
        <v>1780</v>
      </c>
      <c r="K24" s="22">
        <f t="shared" si="7"/>
        <v>2109</v>
      </c>
      <c r="L24" s="22">
        <f t="shared" si="7"/>
        <v>2464</v>
      </c>
      <c r="M24" s="22">
        <f t="shared" si="7"/>
        <v>2846</v>
      </c>
      <c r="N24" s="22">
        <f t="shared" si="7"/>
        <v>3257</v>
      </c>
      <c r="O24" s="22">
        <f t="shared" si="7"/>
        <v>3696</v>
      </c>
      <c r="P24" s="22">
        <f t="shared" si="7"/>
        <v>4165</v>
      </c>
      <c r="Q24" s="22">
        <f t="shared" si="7"/>
        <v>4664</v>
      </c>
      <c r="R24" s="22">
        <f t="shared" si="7"/>
        <v>5194</v>
      </c>
      <c r="S24" s="22">
        <f t="shared" si="7"/>
        <v>5754</v>
      </c>
      <c r="T24" s="22">
        <f t="shared" si="7"/>
        <v>6345</v>
      </c>
      <c r="U24" s="22">
        <f t="shared" si="7"/>
        <v>6969</v>
      </c>
      <c r="V24" s="22">
        <f t="shared" si="7"/>
        <v>7624</v>
      </c>
      <c r="W24" s="22">
        <f t="shared" si="7"/>
        <v>8311</v>
      </c>
      <c r="X24" s="22">
        <f t="shared" si="7"/>
        <v>9032</v>
      </c>
      <c r="Y24" s="22">
        <f t="shared" si="7"/>
        <v>9785</v>
      </c>
      <c r="Z24" s="22">
        <f t="shared" si="7"/>
        <v>10571</v>
      </c>
      <c r="AA24" s="22">
        <f t="shared" si="7"/>
        <v>11389</v>
      </c>
      <c r="AB24" s="22">
        <f t="shared" si="7"/>
        <v>12241</v>
      </c>
      <c r="AC24" s="22">
        <f t="shared" si="7"/>
        <v>13124</v>
      </c>
      <c r="AD24" s="22">
        <f t="shared" si="7"/>
        <v>14041</v>
      </c>
      <c r="AE24" s="22">
        <f t="shared" si="7"/>
        <v>14990</v>
      </c>
      <c r="AF24" s="22">
        <f t="shared" si="7"/>
        <v>15972</v>
      </c>
      <c r="AG24" s="22">
        <f t="shared" si="7"/>
        <v>16986</v>
      </c>
      <c r="AH24" s="22">
        <f t="shared" si="7"/>
        <v>18031</v>
      </c>
      <c r="AI24" s="22">
        <f t="shared" si="7"/>
        <v>19109</v>
      </c>
      <c r="AJ24" s="22">
        <f t="shared" si="7"/>
        <v>20219</v>
      </c>
      <c r="AK24" s="22">
        <f t="shared" si="7"/>
        <v>21360</v>
      </c>
      <c r="AL24" s="22">
        <f t="shared" si="7"/>
        <v>22532</v>
      </c>
    </row>
    <row r="25" spans="1:38" x14ac:dyDescent="0.2">
      <c r="A25" s="6" t="s">
        <v>160</v>
      </c>
      <c r="B25" s="6" t="s">
        <v>152</v>
      </c>
      <c r="C25" s="21">
        <f>ROUND((C23+C24)*Assumptions!$B$23,0)</f>
        <v>4</v>
      </c>
      <c r="D25" s="21">
        <f>ROUND((D23+D24)*Assumptions!$B$23,0)</f>
        <v>14</v>
      </c>
      <c r="E25" s="21">
        <f>ROUND((E23+E24)*Assumptions!$B$23,0)</f>
        <v>28</v>
      </c>
      <c r="F25" s="21">
        <f>ROUND((F23+F24)*Assumptions!$B$23,0)</f>
        <v>49</v>
      </c>
      <c r="G25" s="21">
        <f>ROUND((G23+G24)*Assumptions!$B$23,0)</f>
        <v>76</v>
      </c>
      <c r="H25" s="21">
        <f>ROUND((H23+H24)*Assumptions!$B$23,0)</f>
        <v>110</v>
      </c>
      <c r="I25" s="21">
        <f>ROUND((I23+I24)*Assumptions!$B$23,0)</f>
        <v>150</v>
      </c>
      <c r="J25" s="21">
        <f>ROUND((J23+J24)*Assumptions!$B$23,0)</f>
        <v>199</v>
      </c>
      <c r="K25" s="21">
        <f>ROUND((K23+K24)*Assumptions!$B$23,0)</f>
        <v>257</v>
      </c>
      <c r="L25" s="21">
        <f>ROUND((L23+L24)*Assumptions!$B$23,0)</f>
        <v>323</v>
      </c>
      <c r="M25" s="21">
        <f>ROUND((M23+M24)*Assumptions!$B$23,0)</f>
        <v>399</v>
      </c>
      <c r="N25" s="21">
        <f>ROUND((N23+N24)*Assumptions!$B$23,0)</f>
        <v>484</v>
      </c>
      <c r="O25" s="21">
        <f>ROUND((O23+O24)*Assumptions!$B$23,0)</f>
        <v>581</v>
      </c>
      <c r="P25" s="21">
        <f>ROUND((P23+P24)*Assumptions!$B$23,0)</f>
        <v>688</v>
      </c>
      <c r="Q25" s="21">
        <f>ROUND((Q23+Q24)*Assumptions!$B$23,0)</f>
        <v>807</v>
      </c>
      <c r="R25" s="21">
        <f>ROUND((R23+R24)*Assumptions!$B$23,0)</f>
        <v>939</v>
      </c>
      <c r="S25" s="21">
        <f>ROUND((S23+S24)*Assumptions!$B$23,0)</f>
        <v>1084</v>
      </c>
      <c r="T25" s="21">
        <f>ROUND((T23+T24)*Assumptions!$B$23,0)</f>
        <v>1241</v>
      </c>
      <c r="U25" s="21">
        <f>ROUND((U23+U24)*Assumptions!$B$23,0)</f>
        <v>1413</v>
      </c>
      <c r="V25" s="21">
        <f>ROUND((V23+V24)*Assumptions!$B$23,0)</f>
        <v>1600</v>
      </c>
      <c r="W25" s="21">
        <f>ROUND((W23+W24)*Assumptions!$B$23,0)</f>
        <v>1801</v>
      </c>
      <c r="X25" s="21">
        <f>ROUND((X23+X24)*Assumptions!$B$23,0)</f>
        <v>2018</v>
      </c>
      <c r="Y25" s="21">
        <f>ROUND((Y23+Y24)*Assumptions!$B$23,0)</f>
        <v>2251</v>
      </c>
      <c r="Z25" s="21">
        <f>ROUND((Z23+Z24)*Assumptions!$B$23,0)</f>
        <v>2500</v>
      </c>
      <c r="AA25" s="21">
        <f>ROUND((AA23+AA24)*Assumptions!$B$23,0)</f>
        <v>2767</v>
      </c>
      <c r="AB25" s="21">
        <f>ROUND((AB23+AB24)*Assumptions!$B$23,0)</f>
        <v>3051</v>
      </c>
      <c r="AC25" s="21">
        <f>ROUND((AC23+AC24)*Assumptions!$B$23,0)</f>
        <v>3353</v>
      </c>
      <c r="AD25" s="21">
        <f>ROUND((AD23+AD24)*Assumptions!$B$23,0)</f>
        <v>3674</v>
      </c>
      <c r="AE25" s="21">
        <f>ROUND((AE23+AE24)*Assumptions!$B$23,0)</f>
        <v>4014</v>
      </c>
      <c r="AF25" s="21">
        <f>ROUND((AF23+AF24)*Assumptions!$B$23,0)</f>
        <v>4372</v>
      </c>
      <c r="AG25" s="21">
        <f>ROUND((AG23+AG24)*Assumptions!$B$23,0)</f>
        <v>4751</v>
      </c>
      <c r="AH25" s="21">
        <f>ROUND((AH23+AH24)*Assumptions!$B$23,0)</f>
        <v>5149</v>
      </c>
      <c r="AI25" s="21">
        <f>ROUND((AI23+AI24)*Assumptions!$B$23,0)</f>
        <v>5568</v>
      </c>
      <c r="AJ25" s="21">
        <f>ROUND((AJ23+AJ24)*Assumptions!$B$23,0)</f>
        <v>6008</v>
      </c>
      <c r="AK25" s="21">
        <f>ROUND((AK23+AK24)*Assumptions!$B$23,0)</f>
        <v>6468</v>
      </c>
      <c r="AL25" s="21">
        <f>ROUND((AL23+AL24)*Assumptions!$B$23,0)</f>
        <v>6950</v>
      </c>
    </row>
    <row r="26" spans="1:38" x14ac:dyDescent="0.2">
      <c r="A26" s="17" t="s">
        <v>170</v>
      </c>
      <c r="B26" s="17" t="s">
        <v>152</v>
      </c>
      <c r="C26" s="18">
        <f t="shared" ref="C26:AL26" si="8">C23+C24-C25</f>
        <v>144</v>
      </c>
      <c r="D26" s="18">
        <f t="shared" si="8"/>
        <v>446</v>
      </c>
      <c r="E26" s="18">
        <f t="shared" si="8"/>
        <v>921</v>
      </c>
      <c r="F26" s="18">
        <f t="shared" si="8"/>
        <v>1584</v>
      </c>
      <c r="G26" s="18">
        <f t="shared" si="8"/>
        <v>2452</v>
      </c>
      <c r="H26" s="18">
        <f t="shared" si="8"/>
        <v>3540</v>
      </c>
      <c r="I26" s="18">
        <f t="shared" si="8"/>
        <v>4866</v>
      </c>
      <c r="J26" s="18">
        <f t="shared" si="8"/>
        <v>6447</v>
      </c>
      <c r="K26" s="18">
        <f t="shared" si="8"/>
        <v>8299</v>
      </c>
      <c r="L26" s="18">
        <f t="shared" si="8"/>
        <v>10440</v>
      </c>
      <c r="M26" s="18">
        <f t="shared" si="8"/>
        <v>12887</v>
      </c>
      <c r="N26" s="18">
        <f t="shared" si="8"/>
        <v>15660</v>
      </c>
      <c r="O26" s="18">
        <f t="shared" si="8"/>
        <v>18775</v>
      </c>
      <c r="P26" s="18">
        <f t="shared" si="8"/>
        <v>22252</v>
      </c>
      <c r="Q26" s="18">
        <f t="shared" si="8"/>
        <v>26109</v>
      </c>
      <c r="R26" s="18">
        <f t="shared" si="8"/>
        <v>30364</v>
      </c>
      <c r="S26" s="18">
        <f t="shared" si="8"/>
        <v>35034</v>
      </c>
      <c r="T26" s="18">
        <f t="shared" si="8"/>
        <v>40138</v>
      </c>
      <c r="U26" s="18">
        <f t="shared" si="8"/>
        <v>45694</v>
      </c>
      <c r="V26" s="18">
        <f t="shared" si="8"/>
        <v>51718</v>
      </c>
      <c r="W26" s="18">
        <f t="shared" si="8"/>
        <v>58228</v>
      </c>
      <c r="X26" s="18">
        <f t="shared" si="8"/>
        <v>65242</v>
      </c>
      <c r="Y26" s="18">
        <f t="shared" si="8"/>
        <v>72776</v>
      </c>
      <c r="Z26" s="18">
        <f t="shared" si="8"/>
        <v>80847</v>
      </c>
      <c r="AA26" s="18">
        <f t="shared" si="8"/>
        <v>89469</v>
      </c>
      <c r="AB26" s="18">
        <f t="shared" si="8"/>
        <v>98659</v>
      </c>
      <c r="AC26" s="18">
        <f t="shared" si="8"/>
        <v>108430</v>
      </c>
      <c r="AD26" s="18">
        <f t="shared" si="8"/>
        <v>118797</v>
      </c>
      <c r="AE26" s="18">
        <f t="shared" si="8"/>
        <v>129773</v>
      </c>
      <c r="AF26" s="18">
        <f t="shared" si="8"/>
        <v>141373</v>
      </c>
      <c r="AG26" s="18">
        <f t="shared" si="8"/>
        <v>153608</v>
      </c>
      <c r="AH26" s="18">
        <f t="shared" si="8"/>
        <v>166490</v>
      </c>
      <c r="AI26" s="18">
        <f t="shared" si="8"/>
        <v>180031</v>
      </c>
      <c r="AJ26" s="18">
        <f t="shared" si="8"/>
        <v>194242</v>
      </c>
      <c r="AK26" s="18">
        <f t="shared" si="8"/>
        <v>209134</v>
      </c>
      <c r="AL26" s="18">
        <f t="shared" si="8"/>
        <v>224716</v>
      </c>
    </row>
    <row r="27" spans="1:38" x14ac:dyDescent="0.2">
      <c r="A27" s="3" t="s">
        <v>171</v>
      </c>
      <c r="B27" s="4"/>
      <c r="C27" s="4"/>
      <c r="D27" s="4"/>
      <c r="E27" s="4"/>
    </row>
    <row r="28" spans="1:38" x14ac:dyDescent="0.2">
      <c r="A28" s="17" t="s">
        <v>172</v>
      </c>
      <c r="B28" s="17" t="s">
        <v>152</v>
      </c>
      <c r="C28" s="18">
        <f t="shared" ref="C28:AL28" si="9">C15+C21+C26</f>
        <v>15606</v>
      </c>
      <c r="D28" s="18">
        <f t="shared" si="9"/>
        <v>32768</v>
      </c>
      <c r="E28" s="18">
        <f t="shared" si="9"/>
        <v>51602</v>
      </c>
      <c r="F28" s="18">
        <f t="shared" si="9"/>
        <v>72218</v>
      </c>
      <c r="G28" s="18">
        <f t="shared" si="9"/>
        <v>94724</v>
      </c>
      <c r="H28" s="18">
        <f t="shared" si="9"/>
        <v>119228</v>
      </c>
      <c r="I28" s="18">
        <f t="shared" si="9"/>
        <v>145832</v>
      </c>
      <c r="J28" s="18">
        <f t="shared" si="9"/>
        <v>174633</v>
      </c>
      <c r="K28" s="18">
        <f t="shared" si="9"/>
        <v>205723</v>
      </c>
      <c r="L28" s="18">
        <f t="shared" si="9"/>
        <v>239190</v>
      </c>
      <c r="M28" s="18">
        <f t="shared" si="9"/>
        <v>275119</v>
      </c>
      <c r="N28" s="18">
        <f t="shared" si="9"/>
        <v>313588</v>
      </c>
      <c r="O28" s="18">
        <f t="shared" si="9"/>
        <v>354668</v>
      </c>
      <c r="P28" s="18">
        <f t="shared" si="9"/>
        <v>398427</v>
      </c>
      <c r="Q28" s="18">
        <f t="shared" si="9"/>
        <v>444926</v>
      </c>
      <c r="R28" s="18">
        <f t="shared" si="9"/>
        <v>494220</v>
      </c>
      <c r="S28" s="18">
        <f t="shared" si="9"/>
        <v>546359</v>
      </c>
      <c r="T28" s="18">
        <f t="shared" si="9"/>
        <v>601389</v>
      </c>
      <c r="U28" s="18">
        <f t="shared" si="9"/>
        <v>659348</v>
      </c>
      <c r="V28" s="18">
        <f t="shared" si="9"/>
        <v>720268</v>
      </c>
      <c r="W28" s="18">
        <f t="shared" si="9"/>
        <v>784179</v>
      </c>
      <c r="X28" s="18">
        <f t="shared" si="9"/>
        <v>851104</v>
      </c>
      <c r="Y28" s="18">
        <f t="shared" si="9"/>
        <v>921062</v>
      </c>
      <c r="Z28" s="18">
        <f t="shared" si="9"/>
        <v>994068</v>
      </c>
      <c r="AA28" s="18">
        <f t="shared" si="9"/>
        <v>1070132</v>
      </c>
      <c r="AB28" s="18">
        <f t="shared" si="9"/>
        <v>1149264</v>
      </c>
      <c r="AC28" s="18">
        <f t="shared" si="9"/>
        <v>1231464</v>
      </c>
      <c r="AD28" s="18">
        <f t="shared" si="9"/>
        <v>1316733</v>
      </c>
      <c r="AE28" s="18">
        <f t="shared" si="9"/>
        <v>1405066</v>
      </c>
      <c r="AF28" s="18">
        <f t="shared" si="9"/>
        <v>1496459</v>
      </c>
      <c r="AG28" s="18">
        <f t="shared" si="9"/>
        <v>1590905</v>
      </c>
      <c r="AH28" s="18">
        <f t="shared" si="9"/>
        <v>1688393</v>
      </c>
      <c r="AI28" s="18">
        <f t="shared" si="9"/>
        <v>1788911</v>
      </c>
      <c r="AJ28" s="18">
        <f t="shared" si="9"/>
        <v>1892446</v>
      </c>
      <c r="AK28" s="18">
        <f t="shared" si="9"/>
        <v>1998984</v>
      </c>
      <c r="AL28" s="18">
        <f t="shared" si="9"/>
        <v>2108510</v>
      </c>
    </row>
    <row r="29" spans="1:38" x14ac:dyDescent="0.2">
      <c r="A29" s="17" t="s">
        <v>173</v>
      </c>
      <c r="B29" s="17" t="s">
        <v>152</v>
      </c>
      <c r="C29" s="18">
        <f t="shared" ref="C29:AL29" si="10">C21+C26</f>
        <v>697</v>
      </c>
      <c r="D29" s="18">
        <f t="shared" si="10"/>
        <v>2098</v>
      </c>
      <c r="E29" s="18">
        <f t="shared" si="10"/>
        <v>4216</v>
      </c>
      <c r="F29" s="18">
        <f t="shared" si="10"/>
        <v>7066</v>
      </c>
      <c r="G29" s="18">
        <f t="shared" si="10"/>
        <v>10670</v>
      </c>
      <c r="H29" s="18">
        <f t="shared" si="10"/>
        <v>15049</v>
      </c>
      <c r="I29" s="18">
        <f t="shared" si="10"/>
        <v>20232</v>
      </c>
      <c r="J29" s="18">
        <f t="shared" si="10"/>
        <v>26245</v>
      </c>
      <c r="K29" s="18">
        <f t="shared" si="10"/>
        <v>33117</v>
      </c>
      <c r="L29" s="18">
        <f t="shared" si="10"/>
        <v>40880</v>
      </c>
      <c r="M29" s="18">
        <f t="shared" si="10"/>
        <v>49567</v>
      </c>
      <c r="N29" s="18">
        <f t="shared" si="10"/>
        <v>59213</v>
      </c>
      <c r="O29" s="18">
        <f t="shared" si="10"/>
        <v>69851</v>
      </c>
      <c r="P29" s="18">
        <f t="shared" si="10"/>
        <v>81516</v>
      </c>
      <c r="Q29" s="18">
        <f t="shared" si="10"/>
        <v>94240</v>
      </c>
      <c r="R29" s="18">
        <f t="shared" si="10"/>
        <v>108058</v>
      </c>
      <c r="S29" s="18">
        <f t="shared" si="10"/>
        <v>123002</v>
      </c>
      <c r="T29" s="18">
        <f t="shared" si="10"/>
        <v>139106</v>
      </c>
      <c r="U29" s="18">
        <f t="shared" si="10"/>
        <v>156401</v>
      </c>
      <c r="V29" s="18">
        <f t="shared" si="10"/>
        <v>174916</v>
      </c>
      <c r="W29" s="18">
        <f t="shared" si="10"/>
        <v>194682</v>
      </c>
      <c r="X29" s="18">
        <f t="shared" si="10"/>
        <v>215726</v>
      </c>
      <c r="Y29" s="18">
        <f t="shared" si="10"/>
        <v>238075</v>
      </c>
      <c r="Z29" s="18">
        <f t="shared" si="10"/>
        <v>261755</v>
      </c>
      <c r="AA29" s="18">
        <f t="shared" si="10"/>
        <v>286787</v>
      </c>
      <c r="AB29" s="18">
        <f t="shared" si="10"/>
        <v>313195</v>
      </c>
      <c r="AC29" s="18">
        <f t="shared" si="10"/>
        <v>340998</v>
      </c>
      <c r="AD29" s="18">
        <f t="shared" si="10"/>
        <v>370215</v>
      </c>
      <c r="AE29" s="18">
        <f t="shared" si="10"/>
        <v>400863</v>
      </c>
      <c r="AF29" s="18">
        <f t="shared" si="10"/>
        <v>432958</v>
      </c>
      <c r="AG29" s="18">
        <f t="shared" si="10"/>
        <v>466514</v>
      </c>
      <c r="AH29" s="18">
        <f t="shared" si="10"/>
        <v>501543</v>
      </c>
      <c r="AI29" s="18">
        <f t="shared" si="10"/>
        <v>538056</v>
      </c>
      <c r="AJ29" s="18">
        <f t="shared" si="10"/>
        <v>576063</v>
      </c>
      <c r="AK29" s="18">
        <f t="shared" si="10"/>
        <v>615572</v>
      </c>
      <c r="AL29" s="18">
        <f t="shared" si="10"/>
        <v>656591</v>
      </c>
    </row>
    <row r="30" spans="1:38" x14ac:dyDescent="0.2">
      <c r="A30" s="17" t="s">
        <v>174</v>
      </c>
      <c r="B30" s="17" t="s">
        <v>175</v>
      </c>
      <c r="C30" s="23">
        <f t="shared" ref="C30:AL30" si="11">IF(C28=0,0,C29/C28)</f>
        <v>4.4662309368191724E-2</v>
      </c>
      <c r="D30" s="23">
        <f t="shared" si="11"/>
        <v>6.402587890625E-2</v>
      </c>
      <c r="E30" s="23">
        <f t="shared" si="11"/>
        <v>8.1702259602340996E-2</v>
      </c>
      <c r="F30" s="23">
        <f t="shared" si="11"/>
        <v>9.7842643108366337E-2</v>
      </c>
      <c r="G30" s="23">
        <f t="shared" si="11"/>
        <v>0.11264304716861619</v>
      </c>
      <c r="H30" s="23">
        <f t="shared" si="11"/>
        <v>0.12622035092427952</v>
      </c>
      <c r="I30" s="23">
        <f t="shared" si="11"/>
        <v>0.138734982719842</v>
      </c>
      <c r="J30" s="23">
        <f t="shared" si="11"/>
        <v>0.15028660104333086</v>
      </c>
      <c r="K30" s="23">
        <f t="shared" si="11"/>
        <v>0.16097859743441423</v>
      </c>
      <c r="L30" s="23">
        <f t="shared" si="11"/>
        <v>0.17091015510681884</v>
      </c>
      <c r="M30" s="23">
        <f t="shared" si="11"/>
        <v>0.18016567376298984</v>
      </c>
      <c r="N30" s="23">
        <f t="shared" si="11"/>
        <v>0.18882418970113651</v>
      </c>
      <c r="O30" s="23">
        <f t="shared" si="11"/>
        <v>0.19694756786628623</v>
      </c>
      <c r="P30" s="23">
        <f t="shared" si="11"/>
        <v>0.20459456813920743</v>
      </c>
      <c r="Q30" s="23">
        <f t="shared" si="11"/>
        <v>0.21181050331965315</v>
      </c>
      <c r="R30" s="23">
        <f t="shared" si="11"/>
        <v>0.21864351908057142</v>
      </c>
      <c r="S30" s="23">
        <f t="shared" si="11"/>
        <v>0.2251303630030804</v>
      </c>
      <c r="T30" s="23">
        <f t="shared" si="11"/>
        <v>0.23130785564750936</v>
      </c>
      <c r="U30" s="23">
        <f t="shared" si="11"/>
        <v>0.23720554244496078</v>
      </c>
      <c r="V30" s="23">
        <f t="shared" si="11"/>
        <v>0.24284849528231159</v>
      </c>
      <c r="W30" s="23">
        <f t="shared" si="11"/>
        <v>0.24826219523858711</v>
      </c>
      <c r="X30" s="23">
        <f t="shared" si="11"/>
        <v>0.25346608640072188</v>
      </c>
      <c r="Y30" s="23">
        <f t="shared" si="11"/>
        <v>0.25847879947278252</v>
      </c>
      <c r="Z30" s="23">
        <f t="shared" si="11"/>
        <v>0.26331699642277995</v>
      </c>
      <c r="AA30" s="23">
        <f t="shared" si="11"/>
        <v>0.26799217292819949</v>
      </c>
      <c r="AB30" s="23">
        <f t="shared" si="11"/>
        <v>0.27251788971028412</v>
      </c>
      <c r="AC30" s="23">
        <f t="shared" si="11"/>
        <v>0.27690456237453959</v>
      </c>
      <c r="AD30" s="23">
        <f t="shared" si="11"/>
        <v>0.28116178450756529</v>
      </c>
      <c r="AE30" s="23">
        <f t="shared" si="11"/>
        <v>0.28529834185725084</v>
      </c>
      <c r="AF30" s="23">
        <f t="shared" si="11"/>
        <v>0.28932165866221526</v>
      </c>
      <c r="AG30" s="23">
        <f t="shared" si="11"/>
        <v>0.29323812546946548</v>
      </c>
      <c r="AH30" s="23">
        <f t="shared" si="11"/>
        <v>0.29705347037093854</v>
      </c>
      <c r="AI30" s="23">
        <f t="shared" si="11"/>
        <v>0.3007729283346125</v>
      </c>
      <c r="AJ30" s="23">
        <f t="shared" si="11"/>
        <v>0.30440128806845745</v>
      </c>
      <c r="AK30" s="23">
        <f t="shared" si="11"/>
        <v>0.30794243475685651</v>
      </c>
      <c r="AL30" s="23">
        <f t="shared" si="11"/>
        <v>0.31140046762879947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8B5CF6"/>
  </sheetPr>
  <dimension ref="A1:AL19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30" customWidth="1"/>
    <col min="2" max="2" width="8" customWidth="1"/>
    <col min="3" max="38" width="14" customWidth="1"/>
  </cols>
  <sheetData>
    <row r="1" spans="1:38" ht="18" x14ac:dyDescent="0.2">
      <c r="A1" s="1" t="s">
        <v>176</v>
      </c>
    </row>
    <row r="2" spans="1:38" x14ac:dyDescent="0.2">
      <c r="A2" s="2" t="s">
        <v>177</v>
      </c>
    </row>
    <row r="4" spans="1:38" x14ac:dyDescent="0.2">
      <c r="A4" s="19" t="s">
        <v>112</v>
      </c>
      <c r="B4" s="19" t="s">
        <v>113</v>
      </c>
      <c r="C4" s="20" t="s">
        <v>114</v>
      </c>
      <c r="D4" s="20" t="s">
        <v>115</v>
      </c>
      <c r="E4" s="20" t="s">
        <v>116</v>
      </c>
      <c r="F4" s="20" t="s">
        <v>117</v>
      </c>
      <c r="G4" s="20" t="s">
        <v>118</v>
      </c>
      <c r="H4" s="20" t="s">
        <v>119</v>
      </c>
      <c r="I4" s="20" t="s">
        <v>120</v>
      </c>
      <c r="J4" s="20" t="s">
        <v>121</v>
      </c>
      <c r="K4" s="20" t="s">
        <v>122</v>
      </c>
      <c r="L4" s="20" t="s">
        <v>123</v>
      </c>
      <c r="M4" s="20" t="s">
        <v>124</v>
      </c>
      <c r="N4" s="20" t="s">
        <v>125</v>
      </c>
      <c r="O4" s="20" t="s">
        <v>126</v>
      </c>
      <c r="P4" s="20" t="s">
        <v>127</v>
      </c>
      <c r="Q4" s="20" t="s">
        <v>128</v>
      </c>
      <c r="R4" s="20" t="s">
        <v>129</v>
      </c>
      <c r="S4" s="20" t="s">
        <v>130</v>
      </c>
      <c r="T4" s="20" t="s">
        <v>131</v>
      </c>
      <c r="U4" s="20" t="s">
        <v>132</v>
      </c>
      <c r="V4" s="20" t="s">
        <v>133</v>
      </c>
      <c r="W4" s="20" t="s">
        <v>134</v>
      </c>
      <c r="X4" s="20" t="s">
        <v>135</v>
      </c>
      <c r="Y4" s="20" t="s">
        <v>136</v>
      </c>
      <c r="Z4" s="20" t="s">
        <v>137</v>
      </c>
      <c r="AA4" s="20" t="s">
        <v>138</v>
      </c>
      <c r="AB4" s="20" t="s">
        <v>139</v>
      </c>
      <c r="AC4" s="20" t="s">
        <v>140</v>
      </c>
      <c r="AD4" s="20" t="s">
        <v>141</v>
      </c>
      <c r="AE4" s="20" t="s">
        <v>142</v>
      </c>
      <c r="AF4" s="20" t="s">
        <v>143</v>
      </c>
      <c r="AG4" s="20" t="s">
        <v>144</v>
      </c>
      <c r="AH4" s="20" t="s">
        <v>145</v>
      </c>
      <c r="AI4" s="20" t="s">
        <v>146</v>
      </c>
      <c r="AJ4" s="20" t="s">
        <v>147</v>
      </c>
      <c r="AK4" s="20" t="s">
        <v>148</v>
      </c>
      <c r="AL4" s="20" t="s">
        <v>149</v>
      </c>
    </row>
    <row r="5" spans="1:38" x14ac:dyDescent="0.2">
      <c r="A5" s="3" t="s">
        <v>178</v>
      </c>
      <c r="B5" s="4"/>
      <c r="C5" s="4"/>
      <c r="D5" s="4"/>
      <c r="E5" s="4"/>
    </row>
    <row r="6" spans="1:38" x14ac:dyDescent="0.2">
      <c r="A6" s="6" t="s">
        <v>179</v>
      </c>
      <c r="B6" s="6" t="s">
        <v>180</v>
      </c>
      <c r="C6" s="24">
        <f>'User Growth'!C21*Assumptions!$B$28</f>
        <v>4109.1770999999999</v>
      </c>
      <c r="D6" s="24">
        <f>'User Growth'!D21*Assumptions!$B$28</f>
        <v>12275.5164</v>
      </c>
      <c r="E6" s="24">
        <f>'User Growth'!E21*Assumptions!$B$28</f>
        <v>24484.156500000001</v>
      </c>
      <c r="F6" s="24">
        <f>'User Growth'!F21*Assumptions!$B$28</f>
        <v>40735.097399999999</v>
      </c>
      <c r="G6" s="24">
        <f>'User Growth'!G21*Assumptions!$B$28</f>
        <v>61065.492599999998</v>
      </c>
      <c r="H6" s="24">
        <f>'User Growth'!H21*Assumptions!$B$28</f>
        <v>85519.926299999992</v>
      </c>
      <c r="I6" s="24">
        <f>'User Growth'!I21*Assumptions!$B$28</f>
        <v>114180.13619999999</v>
      </c>
      <c r="J6" s="24">
        <f>'User Growth'!J21*Assumptions!$B$28</f>
        <v>147112.99859999999</v>
      </c>
      <c r="K6" s="24">
        <f>'User Growth'!K21*Assumptions!$B$28</f>
        <v>184415.11259999999</v>
      </c>
      <c r="L6" s="24">
        <f>'User Growth'!L21*Assumptions!$B$28</f>
        <v>226190.508</v>
      </c>
      <c r="M6" s="24">
        <f>'User Growth'!M21*Assumptions!$B$28</f>
        <v>272558.076</v>
      </c>
      <c r="N6" s="24">
        <f>'User Growth'!N21*Assumptions!$B$28</f>
        <v>323629.27710000001</v>
      </c>
      <c r="O6" s="24">
        <f>'User Growth'!O21*Assumptions!$B$28</f>
        <v>379530.43319999997</v>
      </c>
      <c r="P6" s="24">
        <f>'User Growth'!P21*Assumptions!$B$28</f>
        <v>440373.0048</v>
      </c>
      <c r="Q6" s="24">
        <f>'User Growth'!Q21*Assumptions!$B$28</f>
        <v>506261.02169999998</v>
      </c>
      <c r="R6" s="24">
        <f>'User Growth'!R21*Assumptions!$B$28</f>
        <v>577320.80579999997</v>
      </c>
      <c r="S6" s="24">
        <f>'User Growth'!S21*Assumptions!$B$28</f>
        <v>653663.81759999995</v>
      </c>
      <c r="T6" s="24">
        <f>'User Growth'!T21*Assumptions!$B$28</f>
        <v>735401.51760000002</v>
      </c>
      <c r="U6" s="24">
        <f>'User Growth'!U21*Assumptions!$B$28</f>
        <v>822630.50489999994</v>
      </c>
      <c r="V6" s="24">
        <f>'User Growth'!V21*Assumptions!$B$28</f>
        <v>915447.37859999994</v>
      </c>
      <c r="W6" s="24">
        <f>'User Growth'!W21*Assumptions!$B$28</f>
        <v>1013948.7378</v>
      </c>
      <c r="X6" s="24">
        <f>'User Growth'!X21*Assumptions!$B$28</f>
        <v>1118201.4587999999</v>
      </c>
      <c r="Y6" s="24">
        <f>'User Growth'!Y21*Assumptions!$B$28</f>
        <v>1228287.2793000001</v>
      </c>
      <c r="Z6" s="24">
        <f>'User Growth'!Z21*Assumptions!$B$28</f>
        <v>1344273.0755999999</v>
      </c>
      <c r="AA6" s="24">
        <f>'User Growth'!AA21*Assumptions!$B$28</f>
        <v>1466210.8625999999</v>
      </c>
      <c r="AB6" s="24">
        <f>'User Growth'!AB21*Assumptions!$B$28</f>
        <v>1594152.6551999999</v>
      </c>
      <c r="AC6" s="24">
        <f>'User Growth'!AC21*Assumptions!$B$28</f>
        <v>1728143.0375999999</v>
      </c>
      <c r="AD6" s="24">
        <f>'User Growth'!AD21*Assumptions!$B$28</f>
        <v>1868211.7326</v>
      </c>
      <c r="AE6" s="24">
        <f>'User Growth'!AE21*Assumptions!$B$28</f>
        <v>2014388.463</v>
      </c>
      <c r="AF6" s="24">
        <f>'User Growth'!AF21*Assumptions!$B$28</f>
        <v>2166680.6595000001</v>
      </c>
      <c r="AG6" s="24">
        <f>'User Growth'!AG21*Assumptions!$B$28</f>
        <v>2325110.6142000002</v>
      </c>
      <c r="AH6" s="24">
        <f>'User Growth'!AH21*Assumptions!$B$28</f>
        <v>2489678.3270999999</v>
      </c>
      <c r="AI6" s="24">
        <f>'User Growth'!AI21*Assumptions!$B$28</f>
        <v>2660376.3675000002</v>
      </c>
      <c r="AJ6" s="24">
        <f>'User Growth'!AJ21*Assumptions!$B$28</f>
        <v>2837197.3046999997</v>
      </c>
      <c r="AK6" s="24">
        <f>'User Growth'!AK21*Assumptions!$B$28</f>
        <v>3020118.8465999998</v>
      </c>
      <c r="AL6" s="24">
        <f>'User Growth'!AL21*Assumptions!$B$28</f>
        <v>3209133.5625</v>
      </c>
    </row>
    <row r="7" spans="1:38" x14ac:dyDescent="0.2">
      <c r="A7" s="6" t="s">
        <v>181</v>
      </c>
      <c r="B7" s="6" t="s">
        <v>180</v>
      </c>
      <c r="C7" s="24">
        <f>'User Growth'!C26*Assumptions!$B$29</f>
        <v>2677.0607999999997</v>
      </c>
      <c r="D7" s="24">
        <f>'User Growth'!D26*Assumptions!$B$29</f>
        <v>8291.4521999999997</v>
      </c>
      <c r="E7" s="24">
        <f>'User Growth'!E26*Assumptions!$B$29</f>
        <v>17122.0347</v>
      </c>
      <c r="F7" s="24">
        <f>'User Growth'!F26*Assumptions!$B$29</f>
        <v>29447.668799999996</v>
      </c>
      <c r="G7" s="24">
        <f>'User Growth'!G26*Assumptions!$B$29</f>
        <v>45584.396399999998</v>
      </c>
      <c r="H7" s="24">
        <f>'User Growth'!H26*Assumptions!$B$29</f>
        <v>65811.077999999994</v>
      </c>
      <c r="I7" s="24">
        <f>'User Growth'!I26*Assumptions!$B$29</f>
        <v>90462.346199999985</v>
      </c>
      <c r="J7" s="24">
        <f>'User Growth'!J26*Assumptions!$B$29</f>
        <v>119854.24289999998</v>
      </c>
      <c r="K7" s="24">
        <f>'User Growth'!K26*Assumptions!$B$29</f>
        <v>154284.2193</v>
      </c>
      <c r="L7" s="24">
        <f>'User Growth'!L26*Assumptions!$B$29</f>
        <v>194086.908</v>
      </c>
      <c r="M7" s="24">
        <f>'User Growth'!M26*Assumptions!$B$29</f>
        <v>239578.35089999999</v>
      </c>
      <c r="N7" s="24">
        <f>'User Growth'!N26*Assumptions!$B$29</f>
        <v>291130.36199999996</v>
      </c>
      <c r="O7" s="24">
        <f>'User Growth'!O26*Assumptions!$B$29</f>
        <v>349040.39249999996</v>
      </c>
      <c r="P7" s="24">
        <f>'User Growth'!P26*Assumptions!$B$29</f>
        <v>413680.25639999995</v>
      </c>
      <c r="Q7" s="24">
        <f>'User Growth'!Q26*Assumptions!$B$29</f>
        <v>485384.58629999997</v>
      </c>
      <c r="R7" s="24">
        <f>'User Growth'!R26*Assumptions!$B$29</f>
        <v>564488.01479999989</v>
      </c>
      <c r="S7" s="24">
        <f>'User Growth'!S26*Assumptions!$B$29</f>
        <v>651306.58379999991</v>
      </c>
      <c r="T7" s="24">
        <f>'User Growth'!T26*Assumptions!$B$29</f>
        <v>746193.51659999997</v>
      </c>
      <c r="U7" s="24">
        <f>'User Growth'!U26*Assumptions!$B$29</f>
        <v>849483.44579999987</v>
      </c>
      <c r="V7" s="24">
        <f>'User Growth'!V26*Assumptions!$B$29</f>
        <v>961473.82259999996</v>
      </c>
      <c r="W7" s="24">
        <f>'User Growth'!W26*Assumptions!$B$29</f>
        <v>1082499.2796</v>
      </c>
      <c r="X7" s="24">
        <f>'User Growth'!X26*Assumptions!$B$29</f>
        <v>1212894.4493999998</v>
      </c>
      <c r="Y7" s="24">
        <f>'User Growth'!Y26*Assumptions!$B$29</f>
        <v>1352956.7831999999</v>
      </c>
      <c r="Z7" s="24">
        <f>'User Growth'!Z26*Assumptions!$B$29</f>
        <v>1503002.3228999998</v>
      </c>
      <c r="AA7" s="24">
        <f>'User Growth'!AA26*Assumptions!$B$29</f>
        <v>1663291.3382999999</v>
      </c>
      <c r="AB7" s="24">
        <f>'User Growth'!AB26*Assumptions!$B$29</f>
        <v>1834139.8712999998</v>
      </c>
      <c r="AC7" s="24">
        <f>'User Growth'!AC26*Assumptions!$B$29</f>
        <v>2015789.6009999998</v>
      </c>
      <c r="AD7" s="24">
        <f>'User Growth'!AD26*Assumptions!$B$29</f>
        <v>2208519.3879</v>
      </c>
      <c r="AE7" s="24">
        <f>'User Growth'!AE26*Assumptions!$B$29</f>
        <v>2412570.9110999997</v>
      </c>
      <c r="AF7" s="24">
        <f>'User Growth'!AF26*Assumptions!$B$29</f>
        <v>2628223.0310999998</v>
      </c>
      <c r="AG7" s="24">
        <f>'User Growth'!AG26*Assumptions!$B$29</f>
        <v>2855680.2455999996</v>
      </c>
      <c r="AH7" s="24">
        <f>'User Growth'!AH26*Assumptions!$B$29</f>
        <v>3095165.6429999997</v>
      </c>
      <c r="AI7" s="24">
        <f>'User Growth'!AI26*Assumptions!$B$29</f>
        <v>3346902.3116999995</v>
      </c>
      <c r="AJ7" s="24">
        <f>'User Growth'!AJ26*Assumptions!$B$29</f>
        <v>3611094.7493999996</v>
      </c>
      <c r="AK7" s="24">
        <f>'User Growth'!AK26*Assumptions!$B$29</f>
        <v>3887947.4537999998</v>
      </c>
      <c r="AL7" s="24">
        <f>'User Growth'!AL26*Assumptions!$B$29</f>
        <v>4177627.7411999996</v>
      </c>
    </row>
    <row r="8" spans="1:38" x14ac:dyDescent="0.2">
      <c r="A8" s="17" t="s">
        <v>182</v>
      </c>
      <c r="B8" s="17" t="s">
        <v>180</v>
      </c>
      <c r="C8" s="25">
        <f t="shared" ref="C8:AL8" si="0">C6+C7</f>
        <v>6786.2379000000001</v>
      </c>
      <c r="D8" s="25">
        <f t="shared" si="0"/>
        <v>20566.9686</v>
      </c>
      <c r="E8" s="25">
        <f t="shared" si="0"/>
        <v>41606.191200000001</v>
      </c>
      <c r="F8" s="25">
        <f t="shared" si="0"/>
        <v>70182.766199999998</v>
      </c>
      <c r="G8" s="25">
        <f t="shared" si="0"/>
        <v>106649.889</v>
      </c>
      <c r="H8" s="25">
        <f t="shared" si="0"/>
        <v>151331.00429999997</v>
      </c>
      <c r="I8" s="25">
        <f t="shared" si="0"/>
        <v>204642.48239999998</v>
      </c>
      <c r="J8" s="25">
        <f t="shared" si="0"/>
        <v>266967.2415</v>
      </c>
      <c r="K8" s="25">
        <f t="shared" si="0"/>
        <v>338699.33189999999</v>
      </c>
      <c r="L8" s="25">
        <f t="shared" si="0"/>
        <v>420277.41599999997</v>
      </c>
      <c r="M8" s="25">
        <f t="shared" si="0"/>
        <v>512136.42689999996</v>
      </c>
      <c r="N8" s="25">
        <f t="shared" si="0"/>
        <v>614759.63910000003</v>
      </c>
      <c r="O8" s="25">
        <f t="shared" si="0"/>
        <v>728570.82569999993</v>
      </c>
      <c r="P8" s="25">
        <f t="shared" si="0"/>
        <v>854053.26119999995</v>
      </c>
      <c r="Q8" s="25">
        <f t="shared" si="0"/>
        <v>991645.60800000001</v>
      </c>
      <c r="R8" s="25">
        <f t="shared" si="0"/>
        <v>1141808.8205999997</v>
      </c>
      <c r="S8" s="25">
        <f t="shared" si="0"/>
        <v>1304970.4013999999</v>
      </c>
      <c r="T8" s="25">
        <f t="shared" si="0"/>
        <v>1481595.0342000001</v>
      </c>
      <c r="U8" s="25">
        <f t="shared" si="0"/>
        <v>1672113.9506999999</v>
      </c>
      <c r="V8" s="25">
        <f t="shared" si="0"/>
        <v>1876921.2012</v>
      </c>
      <c r="W8" s="25">
        <f t="shared" si="0"/>
        <v>2096448.0174</v>
      </c>
      <c r="X8" s="25">
        <f t="shared" si="0"/>
        <v>2331095.9081999995</v>
      </c>
      <c r="Y8" s="25">
        <f t="shared" si="0"/>
        <v>2581244.0625</v>
      </c>
      <c r="Z8" s="25">
        <f t="shared" si="0"/>
        <v>2847275.3984999997</v>
      </c>
      <c r="AA8" s="25">
        <f t="shared" si="0"/>
        <v>3129502.2008999996</v>
      </c>
      <c r="AB8" s="25">
        <f t="shared" si="0"/>
        <v>3428292.5264999997</v>
      </c>
      <c r="AC8" s="25">
        <f t="shared" si="0"/>
        <v>3743932.6385999997</v>
      </c>
      <c r="AD8" s="25">
        <f t="shared" si="0"/>
        <v>4076731.1205000002</v>
      </c>
      <c r="AE8" s="25">
        <f t="shared" si="0"/>
        <v>4426959.3740999997</v>
      </c>
      <c r="AF8" s="25">
        <f t="shared" si="0"/>
        <v>4794903.6906000003</v>
      </c>
      <c r="AG8" s="25">
        <f t="shared" si="0"/>
        <v>5180790.8597999997</v>
      </c>
      <c r="AH8" s="25">
        <f t="shared" si="0"/>
        <v>5584843.9700999996</v>
      </c>
      <c r="AI8" s="25">
        <f t="shared" si="0"/>
        <v>6007278.6791999992</v>
      </c>
      <c r="AJ8" s="25">
        <f t="shared" si="0"/>
        <v>6448292.0540999994</v>
      </c>
      <c r="AK8" s="25">
        <f t="shared" si="0"/>
        <v>6908066.3004000001</v>
      </c>
      <c r="AL8" s="25">
        <f t="shared" si="0"/>
        <v>7386761.3037</v>
      </c>
    </row>
    <row r="9" spans="1:38" x14ac:dyDescent="0.2">
      <c r="A9" s="17" t="s">
        <v>183</v>
      </c>
      <c r="B9" s="17" t="s">
        <v>180</v>
      </c>
      <c r="C9" s="25">
        <f t="shared" ref="C9:AL9" si="1">C8*12</f>
        <v>81434.854800000001</v>
      </c>
      <c r="D9" s="25">
        <f t="shared" si="1"/>
        <v>246803.6232</v>
      </c>
      <c r="E9" s="25">
        <f t="shared" si="1"/>
        <v>499274.29440000001</v>
      </c>
      <c r="F9" s="25">
        <f t="shared" si="1"/>
        <v>842193.19439999992</v>
      </c>
      <c r="G9" s="25">
        <f t="shared" si="1"/>
        <v>1279798.6680000001</v>
      </c>
      <c r="H9" s="25">
        <f t="shared" si="1"/>
        <v>1815972.0515999997</v>
      </c>
      <c r="I9" s="25">
        <f t="shared" si="1"/>
        <v>2455709.7887999997</v>
      </c>
      <c r="J9" s="25">
        <f t="shared" si="1"/>
        <v>3203606.898</v>
      </c>
      <c r="K9" s="25">
        <f t="shared" si="1"/>
        <v>4064391.9827999999</v>
      </c>
      <c r="L9" s="25">
        <f t="shared" si="1"/>
        <v>5043328.9919999996</v>
      </c>
      <c r="M9" s="25">
        <f t="shared" si="1"/>
        <v>6145637.1228</v>
      </c>
      <c r="N9" s="25">
        <f t="shared" si="1"/>
        <v>7377115.6692000004</v>
      </c>
      <c r="O9" s="25">
        <f t="shared" si="1"/>
        <v>8742849.9083999991</v>
      </c>
      <c r="P9" s="25">
        <f t="shared" si="1"/>
        <v>10248639.134399999</v>
      </c>
      <c r="Q9" s="25">
        <f t="shared" si="1"/>
        <v>11899747.296</v>
      </c>
      <c r="R9" s="25">
        <f t="shared" si="1"/>
        <v>13701705.847199997</v>
      </c>
      <c r="S9" s="25">
        <f t="shared" si="1"/>
        <v>15659644.816799998</v>
      </c>
      <c r="T9" s="25">
        <f t="shared" si="1"/>
        <v>17779140.410400003</v>
      </c>
      <c r="U9" s="25">
        <f t="shared" si="1"/>
        <v>20065367.408399999</v>
      </c>
      <c r="V9" s="25">
        <f t="shared" si="1"/>
        <v>22523054.4144</v>
      </c>
      <c r="W9" s="25">
        <f t="shared" si="1"/>
        <v>25157376.208799999</v>
      </c>
      <c r="X9" s="25">
        <f t="shared" si="1"/>
        <v>27973150.898399994</v>
      </c>
      <c r="Y9" s="25">
        <f t="shared" si="1"/>
        <v>30974928.75</v>
      </c>
      <c r="Z9" s="25">
        <f t="shared" si="1"/>
        <v>34167304.781999998</v>
      </c>
      <c r="AA9" s="25">
        <f t="shared" si="1"/>
        <v>37554026.410799995</v>
      </c>
      <c r="AB9" s="25">
        <f t="shared" si="1"/>
        <v>41139510.317999996</v>
      </c>
      <c r="AC9" s="25">
        <f t="shared" si="1"/>
        <v>44927191.663199998</v>
      </c>
      <c r="AD9" s="25">
        <f t="shared" si="1"/>
        <v>48920773.446000002</v>
      </c>
      <c r="AE9" s="25">
        <f t="shared" si="1"/>
        <v>53123512.489199996</v>
      </c>
      <c r="AF9" s="25">
        <f t="shared" si="1"/>
        <v>57538844.287200004</v>
      </c>
      <c r="AG9" s="25">
        <f t="shared" si="1"/>
        <v>62169490.317599997</v>
      </c>
      <c r="AH9" s="25">
        <f t="shared" si="1"/>
        <v>67018127.641199991</v>
      </c>
      <c r="AI9" s="25">
        <f t="shared" si="1"/>
        <v>72087344.150399983</v>
      </c>
      <c r="AJ9" s="25">
        <f t="shared" si="1"/>
        <v>77379504.649199992</v>
      </c>
      <c r="AK9" s="25">
        <f t="shared" si="1"/>
        <v>82896795.604800001</v>
      </c>
      <c r="AL9" s="25">
        <f t="shared" si="1"/>
        <v>88641135.644400001</v>
      </c>
    </row>
    <row r="10" spans="1:38" x14ac:dyDescent="0.2">
      <c r="A10" s="3" t="s">
        <v>184</v>
      </c>
      <c r="B10" s="4"/>
      <c r="C10" s="4"/>
      <c r="D10" s="4"/>
      <c r="E10" s="4"/>
    </row>
    <row r="11" spans="1:38" x14ac:dyDescent="0.2">
      <c r="A11" s="6" t="s">
        <v>185</v>
      </c>
      <c r="B11" s="6" t="s">
        <v>180</v>
      </c>
      <c r="C11" s="24">
        <f>'User Growth'!C12*Assumptions!$B$28 + 'User Growth'!C13*Assumptions!$B$29</f>
        <v>6949.6016999999993</v>
      </c>
      <c r="D11" s="24">
        <f>'User Growth'!D12*Assumptions!$B$28 + 'User Growth'!D13*Assumptions!$B$29</f>
        <v>14300.572799999998</v>
      </c>
      <c r="E11" s="24">
        <f>'User Growth'!E12*Assumptions!$B$28 + 'User Growth'!E13*Assumptions!$B$29</f>
        <v>22082.6361</v>
      </c>
      <c r="F11" s="24">
        <f>'User Growth'!F12*Assumptions!$B$28 + 'User Growth'!F13*Assumptions!$B$29</f>
        <v>30362.695800000001</v>
      </c>
      <c r="G11" s="24">
        <f>'User Growth'!G12*Assumptions!$B$28 + 'User Growth'!G13*Assumptions!$B$29</f>
        <v>39189.065399999992</v>
      </c>
      <c r="H11" s="24">
        <f>'User Growth'!H12*Assumptions!$B$28 + 'User Growth'!H13*Assumptions!$B$29</f>
        <v>48558.015599999999</v>
      </c>
      <c r="I11" s="24">
        <f>'User Growth'!I12*Assumptions!$B$28 + 'User Growth'!I13*Assumptions!$B$29</f>
        <v>58555.041299999997</v>
      </c>
      <c r="J11" s="24">
        <f>'User Growth'!J12*Assumptions!$B$28 + 'User Growth'!J13*Assumptions!$B$29</f>
        <v>69176.413199999995</v>
      </c>
      <c r="K11" s="24">
        <f>'User Growth'!K12*Assumptions!$B$28 + 'User Growth'!K13*Assumptions!$B$29</f>
        <v>80463.0141</v>
      </c>
      <c r="L11" s="24">
        <f>'User Growth'!L12*Assumptions!$B$28 + 'User Growth'!L13*Assumptions!$B$29</f>
        <v>92437.136099999989</v>
      </c>
      <c r="M11" s="24">
        <f>'User Growth'!M12*Assumptions!$B$28 + 'User Growth'!M13*Assumptions!$B$29</f>
        <v>105124.80059999999</v>
      </c>
      <c r="N11" s="24">
        <f>'User Growth'!N12*Assumptions!$B$28 + 'User Growth'!N13*Assumptions!$B$29</f>
        <v>118566.8904</v>
      </c>
      <c r="O11" s="24">
        <f>'User Growth'!O12*Assumptions!$B$28 + 'User Growth'!O13*Assumptions!$B$29</f>
        <v>132763.40549999999</v>
      </c>
      <c r="P11" s="24">
        <f>'User Growth'!P12*Assumptions!$B$28 + 'User Growth'!P13*Assumptions!$B$29</f>
        <v>147729.20730000001</v>
      </c>
      <c r="Q11" s="24">
        <f>'User Growth'!Q12*Assumptions!$B$28 + 'User Growth'!Q13*Assumptions!$B$29</f>
        <v>163464.29579999999</v>
      </c>
      <c r="R11" s="24">
        <f>'User Growth'!R12*Assumptions!$B$28 + 'User Growth'!R13*Assumptions!$B$29</f>
        <v>180009.55379999999</v>
      </c>
      <c r="S11" s="24">
        <f>'User Growth'!S12*Assumptions!$B$28 + 'User Growth'!S13*Assumptions!$B$29</f>
        <v>197346.39059999998</v>
      </c>
      <c r="T11" s="24">
        <f>'User Growth'!T12*Assumptions!$B$28 + 'User Growth'!T13*Assumptions!$B$29</f>
        <v>215485.96620000002</v>
      </c>
      <c r="U11" s="24">
        <f>'User Growth'!U12*Assumptions!$B$28 + 'User Growth'!U13*Assumptions!$B$29</f>
        <v>234443.14199999999</v>
      </c>
      <c r="V11" s="24">
        <f>'User Growth'!V12*Assumptions!$B$28 + 'User Growth'!V13*Assumptions!$B$29</f>
        <v>254210.48729999998</v>
      </c>
      <c r="W11" s="24">
        <f>'User Growth'!W12*Assumptions!$B$28 + 'User Growth'!W13*Assumptions!$B$29</f>
        <v>274776.84210000001</v>
      </c>
      <c r="X11" s="24">
        <f>'User Growth'!X12*Assumptions!$B$28 + 'User Growth'!X13*Assumptions!$B$29</f>
        <v>296171.9571</v>
      </c>
      <c r="Y11" s="24">
        <f>'User Growth'!Y12*Assumptions!$B$28 + 'User Growth'!Y13*Assumptions!$B$29</f>
        <v>318358.65090000001</v>
      </c>
      <c r="Z11" s="24">
        <f>'User Growth'!Z12*Assumptions!$B$28 + 'User Growth'!Z13*Assumptions!$B$29</f>
        <v>341355.51419999998</v>
      </c>
      <c r="AA11" s="24">
        <f>'User Growth'!AA12*Assumptions!$B$28 + 'User Growth'!AA13*Assumptions!$B$29</f>
        <v>365147.68559999997</v>
      </c>
      <c r="AB11" s="24">
        <f>'User Growth'!AB12*Assumptions!$B$28 + 'User Growth'!AB13*Assumptions!$B$29</f>
        <v>389724.00509999995</v>
      </c>
      <c r="AC11" s="24">
        <f>'User Growth'!AC12*Assumptions!$B$28 + 'User Growth'!AC13*Assumptions!$B$29</f>
        <v>415077.04200000002</v>
      </c>
      <c r="AD11" s="24">
        <f>'User Growth'!AD12*Assumptions!$B$28 + 'User Growth'!AD13*Assumptions!$B$29</f>
        <v>441199.36559999996</v>
      </c>
      <c r="AE11" s="24">
        <f>'User Growth'!AE12*Assumptions!$B$28 + 'User Growth'!AE13*Assumptions!$B$29</f>
        <v>468090.97589999996</v>
      </c>
      <c r="AF11" s="24">
        <f>'User Growth'!AF12*Assumptions!$B$28 + 'User Growth'!AF13*Assumptions!$B$29</f>
        <v>495729.5808</v>
      </c>
      <c r="AG11" s="24">
        <f>'User Growth'!AG12*Assumptions!$B$28 + 'User Growth'!AG13*Assumptions!$B$29</f>
        <v>524122.61099999998</v>
      </c>
      <c r="AH11" s="24">
        <f>'User Growth'!AH12*Assumptions!$B$28 + 'User Growth'!AH13*Assumptions!$B$29</f>
        <v>553225.45439999993</v>
      </c>
      <c r="AI11" s="24">
        <f>'User Growth'!AI12*Assumptions!$B$28 + 'User Growth'!AI13*Assumptions!$B$29</f>
        <v>583060.43099999998</v>
      </c>
      <c r="AJ11" s="24">
        <f>'User Growth'!AJ12*Assumptions!$B$28 + 'User Growth'!AJ13*Assumptions!$B$29</f>
        <v>613608.95010000002</v>
      </c>
      <c r="AK11" s="24">
        <f>'User Growth'!AK12*Assumptions!$B$28 + 'User Growth'!AK13*Assumptions!$B$29</f>
        <v>644844.99029999995</v>
      </c>
      <c r="AL11" s="24">
        <f>'User Growth'!AL12*Assumptions!$B$28 + 'User Growth'!AL13*Assumptions!$B$29</f>
        <v>676779.71160000004</v>
      </c>
    </row>
    <row r="12" spans="1:38" x14ac:dyDescent="0.2">
      <c r="A12" s="6" t="s">
        <v>186</v>
      </c>
      <c r="B12" s="6" t="s">
        <v>180</v>
      </c>
      <c r="C12" s="24">
        <f>'User Growth'!C19*(Assumptions!$B$29-Assumptions!$B$28)</f>
        <v>133.91999999999999</v>
      </c>
      <c r="D12" s="24">
        <f>'User Growth'!D19*(Assumptions!$B$29-Assumptions!$B$28)</f>
        <v>401.75999999999993</v>
      </c>
      <c r="E12" s="24">
        <f>'User Growth'!E19*(Assumptions!$B$29-Assumptions!$B$28)</f>
        <v>792.3599999999999</v>
      </c>
      <c r="F12" s="24">
        <f>'User Growth'!F19*(Assumptions!$B$29-Assumptions!$B$28)</f>
        <v>1316.8799999999999</v>
      </c>
      <c r="G12" s="24">
        <f>'User Growth'!G19*(Assumptions!$B$29-Assumptions!$B$28)</f>
        <v>1975.3199999999997</v>
      </c>
      <c r="H12" s="24">
        <f>'User Growth'!H19*(Assumptions!$B$29-Assumptions!$B$28)</f>
        <v>2767.6799999999994</v>
      </c>
      <c r="I12" s="24">
        <f>'User Growth'!I19*(Assumptions!$B$29-Assumptions!$B$28)</f>
        <v>3682.7999999999993</v>
      </c>
      <c r="J12" s="24">
        <f>'User Growth'!J19*(Assumptions!$B$29-Assumptions!$B$28)</f>
        <v>4754.1599999999989</v>
      </c>
      <c r="K12" s="24">
        <f>'User Growth'!K19*(Assumptions!$B$29-Assumptions!$B$28)</f>
        <v>5959.4399999999987</v>
      </c>
      <c r="L12" s="24">
        <f>'User Growth'!L19*(Assumptions!$B$29-Assumptions!$B$28)</f>
        <v>7309.7999999999993</v>
      </c>
      <c r="M12" s="24">
        <f>'User Growth'!M19*(Assumptions!$B$29-Assumptions!$B$28)</f>
        <v>8805.239999999998</v>
      </c>
      <c r="N12" s="24">
        <f>'User Growth'!N19*(Assumptions!$B$29-Assumptions!$B$28)</f>
        <v>10456.919999999998</v>
      </c>
      <c r="O12" s="24">
        <f>'User Growth'!O19*(Assumptions!$B$29-Assumptions!$B$28)</f>
        <v>12253.679999999998</v>
      </c>
      <c r="P12" s="24">
        <f>'User Growth'!P19*(Assumptions!$B$29-Assumptions!$B$28)</f>
        <v>14217.839999999998</v>
      </c>
      <c r="Q12" s="24">
        <f>'User Growth'!Q19*(Assumptions!$B$29-Assumptions!$B$28)</f>
        <v>16349.399999999998</v>
      </c>
      <c r="R12" s="24">
        <f>'User Growth'!R19*(Assumptions!$B$29-Assumptions!$B$28)</f>
        <v>18648.359999999997</v>
      </c>
      <c r="S12" s="24">
        <f>'User Growth'!S19*(Assumptions!$B$29-Assumptions!$B$28)</f>
        <v>21114.719999999998</v>
      </c>
      <c r="T12" s="24">
        <f>'User Growth'!T19*(Assumptions!$B$29-Assumptions!$B$28)</f>
        <v>23748.479999999996</v>
      </c>
      <c r="U12" s="24">
        <f>'User Growth'!U19*(Assumptions!$B$29-Assumptions!$B$28)</f>
        <v>26571.959999999995</v>
      </c>
      <c r="V12" s="24">
        <f>'User Growth'!V19*(Assumptions!$B$29-Assumptions!$B$28)</f>
        <v>29562.839999999997</v>
      </c>
      <c r="W12" s="24">
        <f>'User Growth'!W19*(Assumptions!$B$29-Assumptions!$B$28)</f>
        <v>32743.439999999995</v>
      </c>
      <c r="X12" s="24">
        <f>'User Growth'!X19*(Assumptions!$B$29-Assumptions!$B$28)</f>
        <v>36113.759999999995</v>
      </c>
      <c r="Y12" s="24">
        <f>'User Growth'!Y19*(Assumptions!$B$29-Assumptions!$B$28)</f>
        <v>39673.799999999996</v>
      </c>
      <c r="Z12" s="24">
        <f>'User Growth'!Z19*(Assumptions!$B$29-Assumptions!$B$28)</f>
        <v>43423.55999999999</v>
      </c>
      <c r="AA12" s="24">
        <f>'User Growth'!AA19*(Assumptions!$B$29-Assumptions!$B$28)</f>
        <v>47351.87999999999</v>
      </c>
      <c r="AB12" s="24">
        <f>'User Growth'!AB19*(Assumptions!$B$29-Assumptions!$B$28)</f>
        <v>51492.239999999991</v>
      </c>
      <c r="AC12" s="24">
        <f>'User Growth'!AC19*(Assumptions!$B$29-Assumptions!$B$28)</f>
        <v>55811.159999999989</v>
      </c>
      <c r="AD12" s="24">
        <f>'User Growth'!AD19*(Assumptions!$B$29-Assumptions!$B$28)</f>
        <v>60342.119999999988</v>
      </c>
      <c r="AE12" s="24">
        <f>'User Growth'!AE19*(Assumptions!$B$29-Assumptions!$B$28)</f>
        <v>65062.799999999988</v>
      </c>
      <c r="AF12" s="24">
        <f>'User Growth'!AF19*(Assumptions!$B$29-Assumptions!$B$28)</f>
        <v>69984.359999999986</v>
      </c>
      <c r="AG12" s="24">
        <f>'User Growth'!AG19*(Assumptions!$B$29-Assumptions!$B$28)</f>
        <v>75095.639999999985</v>
      </c>
      <c r="AH12" s="24">
        <f>'User Growth'!AH19*(Assumptions!$B$29-Assumptions!$B$28)</f>
        <v>80407.799999999988</v>
      </c>
      <c r="AI12" s="24">
        <f>'User Growth'!AI19*(Assumptions!$B$29-Assumptions!$B$28)</f>
        <v>85920.839999999982</v>
      </c>
      <c r="AJ12" s="24">
        <f>'User Growth'!AJ19*(Assumptions!$B$29-Assumptions!$B$28)</f>
        <v>91634.75999999998</v>
      </c>
      <c r="AK12" s="24">
        <f>'User Growth'!AK19*(Assumptions!$B$29-Assumptions!$B$28)</f>
        <v>97549.559999999983</v>
      </c>
      <c r="AL12" s="24">
        <f>'User Growth'!AL19*(Assumptions!$B$29-Assumptions!$B$28)</f>
        <v>103654.07999999999</v>
      </c>
    </row>
    <row r="13" spans="1:38" x14ac:dyDescent="0.2">
      <c r="A13" s="6" t="s">
        <v>187</v>
      </c>
      <c r="B13" s="6" t="s">
        <v>180</v>
      </c>
      <c r="C13" s="26">
        <f>'User Growth'!C20*Assumptions!$B$28 + 'User Growth'!C25*Assumptions!$B$29</f>
        <v>297.28379999999999</v>
      </c>
      <c r="D13" s="26">
        <f>'User Growth'!D20*Assumptions!$B$28 + 'User Growth'!D25*Assumptions!$B$29</f>
        <v>921.60210000000006</v>
      </c>
      <c r="E13" s="26">
        <f>'User Growth'!E20*Assumptions!$B$28 + 'User Growth'!E25*Assumptions!$B$29</f>
        <v>1835.7734999999998</v>
      </c>
      <c r="F13" s="26">
        <f>'User Growth'!F20*Assumptions!$B$28 + 'User Growth'!F25*Assumptions!$B$29</f>
        <v>3103.0007999999998</v>
      </c>
      <c r="G13" s="26">
        <f>'User Growth'!G20*Assumptions!$B$28 + 'User Growth'!G25*Assumptions!$B$29</f>
        <v>4697.2626</v>
      </c>
      <c r="H13" s="26">
        <f>'User Growth'!H20*Assumptions!$B$28 + 'User Growth'!H25*Assumptions!$B$29</f>
        <v>6644.5802999999996</v>
      </c>
      <c r="I13" s="26">
        <f>'User Growth'!I20*Assumptions!$B$28 + 'User Growth'!I25*Assumptions!$B$29</f>
        <v>8926.3631999999998</v>
      </c>
      <c r="J13" s="26">
        <f>'User Growth'!J20*Assumptions!$B$28 + 'User Growth'!J25*Assumptions!$B$29</f>
        <v>11605.8141</v>
      </c>
      <c r="K13" s="26">
        <f>'User Growth'!K20*Assumptions!$B$28 + 'User Growth'!K25*Assumptions!$B$29</f>
        <v>14690.363699999998</v>
      </c>
      <c r="L13" s="26">
        <f>'User Growth'!L20*Assumptions!$B$28 + 'User Growth'!L25*Assumptions!$B$29</f>
        <v>18168.851999999999</v>
      </c>
      <c r="M13" s="26">
        <f>'User Growth'!M20*Assumptions!$B$28 + 'User Growth'!M25*Assumptions!$B$29</f>
        <v>22071.029699999999</v>
      </c>
      <c r="N13" s="26">
        <f>'User Growth'!N20*Assumptions!$B$28 + 'User Growth'!N25*Assumptions!$B$29</f>
        <v>26400.5982</v>
      </c>
      <c r="O13" s="26">
        <f>'User Growth'!O20*Assumptions!$B$28 + 'User Growth'!O25*Assumptions!$B$29</f>
        <v>31205.8989</v>
      </c>
      <c r="P13" s="26">
        <f>'User Growth'!P20*Assumptions!$B$28 + 'User Growth'!P25*Assumptions!$B$29</f>
        <v>36464.611799999999</v>
      </c>
      <c r="Q13" s="26">
        <f>'User Growth'!Q20*Assumptions!$B$28 + 'User Growth'!Q25*Assumptions!$B$29</f>
        <v>42221.349000000002</v>
      </c>
      <c r="R13" s="26">
        <f>'User Growth'!R20*Assumptions!$B$28 + 'User Growth'!R25*Assumptions!$B$29</f>
        <v>48494.701199999996</v>
      </c>
      <c r="S13" s="26">
        <f>'User Growth'!S20*Assumptions!$B$28 + 'User Growth'!S25*Assumptions!$B$29</f>
        <v>55299.529800000004</v>
      </c>
      <c r="T13" s="26">
        <f>'User Growth'!T20*Assumptions!$B$28 + 'User Growth'!T25*Assumptions!$B$29</f>
        <v>62609.813399999999</v>
      </c>
      <c r="U13" s="26">
        <f>'User Growth'!U20*Assumptions!$B$28 + 'User Growth'!U25*Assumptions!$B$29</f>
        <v>70496.185499999992</v>
      </c>
      <c r="V13" s="26">
        <f>'User Growth'!V20*Assumptions!$B$28 + 'User Growth'!V25*Assumptions!$B$29</f>
        <v>78966.076799999995</v>
      </c>
      <c r="W13" s="26">
        <f>'User Growth'!W20*Assumptions!$B$28 + 'User Growth'!W25*Assumptions!$B$29</f>
        <v>87993.465899999996</v>
      </c>
      <c r="X13" s="26">
        <f>'User Growth'!X20*Assumptions!$B$28 + 'User Growth'!X25*Assumptions!$B$29</f>
        <v>97637.826300000001</v>
      </c>
      <c r="Y13" s="26">
        <f>'User Growth'!Y20*Assumptions!$B$28 + 'User Growth'!Y25*Assumptions!$B$29</f>
        <v>107884.2966</v>
      </c>
      <c r="Z13" s="26">
        <f>'User Growth'!Z20*Assumptions!$B$28 + 'User Growth'!Z25*Assumptions!$B$29</f>
        <v>118747.73819999999</v>
      </c>
      <c r="AA13" s="26">
        <f>'User Growth'!AA20*Assumptions!$B$28 + 'User Growth'!AA25*Assumptions!$B$29</f>
        <v>130272.76319999999</v>
      </c>
      <c r="AB13" s="26">
        <f>'User Growth'!AB20*Assumptions!$B$28 + 'User Growth'!AB25*Assumptions!$B$29</f>
        <v>142425.91949999999</v>
      </c>
      <c r="AC13" s="26">
        <f>'User Growth'!AC20*Assumptions!$B$28 + 'User Growth'!AC25*Assumptions!$B$29</f>
        <v>155248.08989999999</v>
      </c>
      <c r="AD13" s="26">
        <f>'User Growth'!AD20*Assumptions!$B$28 + 'User Growth'!AD25*Assumptions!$B$29</f>
        <v>168743.0037</v>
      </c>
      <c r="AE13" s="26">
        <f>'User Growth'!AE20*Assumptions!$B$28 + 'User Growth'!AE25*Assumptions!$B$29</f>
        <v>182925.52230000001</v>
      </c>
      <c r="AF13" s="26">
        <f>'User Growth'!AF20*Assumptions!$B$28 + 'User Growth'!AF25*Assumptions!$B$29</f>
        <v>197769.6243</v>
      </c>
      <c r="AG13" s="26">
        <f>'User Growth'!AG20*Assumptions!$B$28 + 'User Growth'!AG25*Assumptions!$B$29</f>
        <v>213331.08179999999</v>
      </c>
      <c r="AH13" s="26">
        <f>'User Growth'!AH20*Assumptions!$B$28 + 'User Growth'!AH25*Assumptions!$B$29</f>
        <v>229580.14409999998</v>
      </c>
      <c r="AI13" s="26">
        <f>'User Growth'!AI20*Assumptions!$B$28 + 'User Growth'!AI25*Assumptions!$B$29</f>
        <v>246546.5619</v>
      </c>
      <c r="AJ13" s="26">
        <f>'User Growth'!AJ20*Assumptions!$B$28 + 'User Growth'!AJ25*Assumptions!$B$29</f>
        <v>264230.33519999997</v>
      </c>
      <c r="AK13" s="26">
        <f>'User Growth'!AK20*Assumptions!$B$28 + 'User Growth'!AK25*Assumptions!$B$29</f>
        <v>282620.304</v>
      </c>
      <c r="AL13" s="26">
        <f>'User Growth'!AL20*Assumptions!$B$28 + 'User Growth'!AL25*Assumptions!$B$29</f>
        <v>301738.78830000001</v>
      </c>
    </row>
    <row r="14" spans="1:38" x14ac:dyDescent="0.2">
      <c r="A14" s="17" t="s">
        <v>188</v>
      </c>
      <c r="B14" s="17" t="s">
        <v>180</v>
      </c>
      <c r="C14" s="27">
        <f t="shared" ref="C14:AL14" si="2">C11+C12-C13</f>
        <v>6786.2378999999992</v>
      </c>
      <c r="D14" s="27">
        <f t="shared" si="2"/>
        <v>13780.730699999998</v>
      </c>
      <c r="E14" s="27">
        <f t="shared" si="2"/>
        <v>21039.222600000001</v>
      </c>
      <c r="F14" s="27">
        <f t="shared" si="2"/>
        <v>28576.575000000004</v>
      </c>
      <c r="G14" s="27">
        <f t="shared" si="2"/>
        <v>36467.12279999999</v>
      </c>
      <c r="H14" s="27">
        <f t="shared" si="2"/>
        <v>44681.115299999998</v>
      </c>
      <c r="I14" s="27">
        <f t="shared" si="2"/>
        <v>53311.4781</v>
      </c>
      <c r="J14" s="27">
        <f t="shared" si="2"/>
        <v>62324.759099999996</v>
      </c>
      <c r="K14" s="27">
        <f t="shared" si="2"/>
        <v>71732.090400000001</v>
      </c>
      <c r="L14" s="27">
        <f t="shared" si="2"/>
        <v>81578.084099999993</v>
      </c>
      <c r="M14" s="27">
        <f t="shared" si="2"/>
        <v>91859.010899999979</v>
      </c>
      <c r="N14" s="27">
        <f t="shared" si="2"/>
        <v>102623.21220000001</v>
      </c>
      <c r="O14" s="27">
        <f t="shared" si="2"/>
        <v>113811.18659999999</v>
      </c>
      <c r="P14" s="27">
        <f t="shared" si="2"/>
        <v>125482.43550000001</v>
      </c>
      <c r="Q14" s="27">
        <f t="shared" si="2"/>
        <v>137592.3468</v>
      </c>
      <c r="R14" s="27">
        <f t="shared" si="2"/>
        <v>150163.21259999997</v>
      </c>
      <c r="S14" s="27">
        <f t="shared" si="2"/>
        <v>163161.5808</v>
      </c>
      <c r="T14" s="27">
        <f t="shared" si="2"/>
        <v>176624.63280000002</v>
      </c>
      <c r="U14" s="27">
        <f t="shared" si="2"/>
        <v>190518.91649999999</v>
      </c>
      <c r="V14" s="27">
        <f t="shared" si="2"/>
        <v>204807.25050000002</v>
      </c>
      <c r="W14" s="27">
        <f t="shared" si="2"/>
        <v>219526.8162</v>
      </c>
      <c r="X14" s="27">
        <f t="shared" si="2"/>
        <v>234647.89079999999</v>
      </c>
      <c r="Y14" s="27">
        <f t="shared" si="2"/>
        <v>250148.15429999999</v>
      </c>
      <c r="Z14" s="27">
        <f t="shared" si="2"/>
        <v>266031.33600000001</v>
      </c>
      <c r="AA14" s="27">
        <f t="shared" si="2"/>
        <v>282226.80239999999</v>
      </c>
      <c r="AB14" s="27">
        <f t="shared" si="2"/>
        <v>298790.32559999998</v>
      </c>
      <c r="AC14" s="27">
        <f t="shared" si="2"/>
        <v>315640.11210000003</v>
      </c>
      <c r="AD14" s="27">
        <f t="shared" si="2"/>
        <v>332798.48189999996</v>
      </c>
      <c r="AE14" s="27">
        <f t="shared" si="2"/>
        <v>350228.2536</v>
      </c>
      <c r="AF14" s="27">
        <f t="shared" si="2"/>
        <v>367944.31649999996</v>
      </c>
      <c r="AG14" s="27">
        <f t="shared" si="2"/>
        <v>385887.16919999995</v>
      </c>
      <c r="AH14" s="27">
        <f t="shared" si="2"/>
        <v>404053.1103</v>
      </c>
      <c r="AI14" s="27">
        <f t="shared" si="2"/>
        <v>422434.70909999998</v>
      </c>
      <c r="AJ14" s="27">
        <f t="shared" si="2"/>
        <v>441013.37490000005</v>
      </c>
      <c r="AK14" s="27">
        <f t="shared" si="2"/>
        <v>459774.24629999988</v>
      </c>
      <c r="AL14" s="27">
        <f t="shared" si="2"/>
        <v>478695.00329999998</v>
      </c>
    </row>
    <row r="15" spans="1:38" x14ac:dyDescent="0.2">
      <c r="A15" s="3" t="s">
        <v>189</v>
      </c>
      <c r="B15" s="4"/>
      <c r="C15" s="4"/>
      <c r="D15" s="4"/>
      <c r="E15" s="4"/>
    </row>
    <row r="16" spans="1:38" x14ac:dyDescent="0.2">
      <c r="A16" s="6" t="s">
        <v>190</v>
      </c>
      <c r="B16" s="6" t="s">
        <v>180</v>
      </c>
      <c r="C16" s="28">
        <f t="shared" ref="C16:AL16" si="3">C8</f>
        <v>6786.2379000000001</v>
      </c>
      <c r="D16" s="28">
        <f t="shared" si="3"/>
        <v>20566.9686</v>
      </c>
      <c r="E16" s="28">
        <f t="shared" si="3"/>
        <v>41606.191200000001</v>
      </c>
      <c r="F16" s="28">
        <f t="shared" si="3"/>
        <v>70182.766199999998</v>
      </c>
      <c r="G16" s="28">
        <f t="shared" si="3"/>
        <v>106649.889</v>
      </c>
      <c r="H16" s="28">
        <f t="shared" si="3"/>
        <v>151331.00429999997</v>
      </c>
      <c r="I16" s="28">
        <f t="shared" si="3"/>
        <v>204642.48239999998</v>
      </c>
      <c r="J16" s="28">
        <f t="shared" si="3"/>
        <v>266967.2415</v>
      </c>
      <c r="K16" s="28">
        <f t="shared" si="3"/>
        <v>338699.33189999999</v>
      </c>
      <c r="L16" s="28">
        <f t="shared" si="3"/>
        <v>420277.41599999997</v>
      </c>
      <c r="M16" s="28">
        <f t="shared" si="3"/>
        <v>512136.42689999996</v>
      </c>
      <c r="N16" s="28">
        <f t="shared" si="3"/>
        <v>614759.63910000003</v>
      </c>
      <c r="O16" s="28">
        <f t="shared" si="3"/>
        <v>728570.82569999993</v>
      </c>
      <c r="P16" s="28">
        <f t="shared" si="3"/>
        <v>854053.26119999995</v>
      </c>
      <c r="Q16" s="28">
        <f t="shared" si="3"/>
        <v>991645.60800000001</v>
      </c>
      <c r="R16" s="28">
        <f t="shared" si="3"/>
        <v>1141808.8205999997</v>
      </c>
      <c r="S16" s="28">
        <f t="shared" si="3"/>
        <v>1304970.4013999999</v>
      </c>
      <c r="T16" s="28">
        <f t="shared" si="3"/>
        <v>1481595.0342000001</v>
      </c>
      <c r="U16" s="28">
        <f t="shared" si="3"/>
        <v>1672113.9506999999</v>
      </c>
      <c r="V16" s="28">
        <f t="shared" si="3"/>
        <v>1876921.2012</v>
      </c>
      <c r="W16" s="28">
        <f t="shared" si="3"/>
        <v>2096448.0174</v>
      </c>
      <c r="X16" s="28">
        <f t="shared" si="3"/>
        <v>2331095.9081999995</v>
      </c>
      <c r="Y16" s="28">
        <f t="shared" si="3"/>
        <v>2581244.0625</v>
      </c>
      <c r="Z16" s="28">
        <f t="shared" si="3"/>
        <v>2847275.3984999997</v>
      </c>
      <c r="AA16" s="28">
        <f t="shared" si="3"/>
        <v>3129502.2008999996</v>
      </c>
      <c r="AB16" s="28">
        <f t="shared" si="3"/>
        <v>3428292.5264999997</v>
      </c>
      <c r="AC16" s="28">
        <f t="shared" si="3"/>
        <v>3743932.6385999997</v>
      </c>
      <c r="AD16" s="28">
        <f t="shared" si="3"/>
        <v>4076731.1205000002</v>
      </c>
      <c r="AE16" s="28">
        <f t="shared" si="3"/>
        <v>4426959.3740999997</v>
      </c>
      <c r="AF16" s="28">
        <f t="shared" si="3"/>
        <v>4794903.6906000003</v>
      </c>
      <c r="AG16" s="28">
        <f t="shared" si="3"/>
        <v>5180790.8597999997</v>
      </c>
      <c r="AH16" s="28">
        <f t="shared" si="3"/>
        <v>5584843.9700999996</v>
      </c>
      <c r="AI16" s="28">
        <f t="shared" si="3"/>
        <v>6007278.6791999992</v>
      </c>
      <c r="AJ16" s="28">
        <f t="shared" si="3"/>
        <v>6448292.0540999994</v>
      </c>
      <c r="AK16" s="28">
        <f t="shared" si="3"/>
        <v>6908066.3004000001</v>
      </c>
      <c r="AL16" s="28">
        <f t="shared" si="3"/>
        <v>7386761.3037</v>
      </c>
    </row>
    <row r="17" spans="1:38" x14ac:dyDescent="0.2">
      <c r="A17" s="17" t="s">
        <v>191</v>
      </c>
      <c r="B17" s="17" t="s">
        <v>180</v>
      </c>
      <c r="C17" s="25">
        <f>C16</f>
        <v>6786.2379000000001</v>
      </c>
      <c r="D17" s="25">
        <f t="shared" ref="D17:AL17" si="4">C17+D16</f>
        <v>27353.2065</v>
      </c>
      <c r="E17" s="25">
        <f t="shared" si="4"/>
        <v>68959.397700000001</v>
      </c>
      <c r="F17" s="25">
        <f t="shared" si="4"/>
        <v>139142.16389999999</v>
      </c>
      <c r="G17" s="25">
        <f t="shared" si="4"/>
        <v>245792.05289999998</v>
      </c>
      <c r="H17" s="25">
        <f t="shared" si="4"/>
        <v>397123.05719999992</v>
      </c>
      <c r="I17" s="25">
        <f t="shared" si="4"/>
        <v>601765.5395999999</v>
      </c>
      <c r="J17" s="25">
        <f t="shared" si="4"/>
        <v>868732.78109999991</v>
      </c>
      <c r="K17" s="25">
        <f t="shared" si="4"/>
        <v>1207432.1129999999</v>
      </c>
      <c r="L17" s="25">
        <f t="shared" si="4"/>
        <v>1627709.5289999999</v>
      </c>
      <c r="M17" s="25">
        <f t="shared" si="4"/>
        <v>2139845.9558999999</v>
      </c>
      <c r="N17" s="25">
        <f t="shared" si="4"/>
        <v>2754605.5949999997</v>
      </c>
      <c r="O17" s="25">
        <f t="shared" si="4"/>
        <v>3483176.4206999997</v>
      </c>
      <c r="P17" s="25">
        <f t="shared" si="4"/>
        <v>4337229.6818999993</v>
      </c>
      <c r="Q17" s="25">
        <f t="shared" si="4"/>
        <v>5328875.2898999993</v>
      </c>
      <c r="R17" s="25">
        <f t="shared" si="4"/>
        <v>6470684.1104999986</v>
      </c>
      <c r="S17" s="25">
        <f t="shared" si="4"/>
        <v>7775654.5118999984</v>
      </c>
      <c r="T17" s="25">
        <f t="shared" si="4"/>
        <v>9257249.5460999981</v>
      </c>
      <c r="U17" s="25">
        <f t="shared" si="4"/>
        <v>10929363.496799998</v>
      </c>
      <c r="V17" s="25">
        <f t="shared" si="4"/>
        <v>12806284.697999999</v>
      </c>
      <c r="W17" s="25">
        <f t="shared" si="4"/>
        <v>14902732.715399999</v>
      </c>
      <c r="X17" s="25">
        <f t="shared" si="4"/>
        <v>17233828.623599999</v>
      </c>
      <c r="Y17" s="25">
        <f t="shared" si="4"/>
        <v>19815072.686099999</v>
      </c>
      <c r="Z17" s="25">
        <f t="shared" si="4"/>
        <v>22662348.084599998</v>
      </c>
      <c r="AA17" s="25">
        <f t="shared" si="4"/>
        <v>25791850.285499997</v>
      </c>
      <c r="AB17" s="25">
        <f t="shared" si="4"/>
        <v>29220142.811999999</v>
      </c>
      <c r="AC17" s="25">
        <f t="shared" si="4"/>
        <v>32964075.450599998</v>
      </c>
      <c r="AD17" s="25">
        <f t="shared" si="4"/>
        <v>37040806.571099997</v>
      </c>
      <c r="AE17" s="25">
        <f t="shared" si="4"/>
        <v>41467765.945199996</v>
      </c>
      <c r="AF17" s="25">
        <f t="shared" si="4"/>
        <v>46262669.635799997</v>
      </c>
      <c r="AG17" s="25">
        <f t="shared" si="4"/>
        <v>51443460.4956</v>
      </c>
      <c r="AH17" s="25">
        <f t="shared" si="4"/>
        <v>57028304.465700001</v>
      </c>
      <c r="AI17" s="25">
        <f t="shared" si="4"/>
        <v>63035583.144900002</v>
      </c>
      <c r="AJ17" s="25">
        <f t="shared" si="4"/>
        <v>69483875.199000001</v>
      </c>
      <c r="AK17" s="25">
        <f t="shared" si="4"/>
        <v>76391941.499400005</v>
      </c>
      <c r="AL17" s="25">
        <f t="shared" si="4"/>
        <v>83778702.803100005</v>
      </c>
    </row>
    <row r="18" spans="1:38" x14ac:dyDescent="0.2">
      <c r="A18" s="6" t="s">
        <v>192</v>
      </c>
      <c r="B18" s="6" t="s">
        <v>180</v>
      </c>
      <c r="C18" s="29">
        <f>IF('User Growth'!C29=0,0,C8/'User Growth'!C29)</f>
        <v>9.7363527977044484</v>
      </c>
      <c r="D18" s="29">
        <f>IF('User Growth'!D29=0,0,D8/'User Growth'!D29)</f>
        <v>9.8031308865586269</v>
      </c>
      <c r="E18" s="29">
        <f>IF('User Growth'!E29=0,0,E8/'User Growth'!E29)</f>
        <v>9.8686411764705877</v>
      </c>
      <c r="F18" s="29">
        <f>IF('User Growth'!F29=0,0,F8/'User Growth'!F29)</f>
        <v>9.932460543447494</v>
      </c>
      <c r="G18" s="29">
        <f>IF('User Growth'!G29=0,0,G8/'User Growth'!G29)</f>
        <v>9.9953035613870664</v>
      </c>
      <c r="H18" s="29">
        <f>IF('User Growth'!H29=0,0,H8/'User Growth'!H29)</f>
        <v>10.055884397634392</v>
      </c>
      <c r="I18" s="29">
        <f>IF('User Growth'!I29=0,0,I8/'User Growth'!I29)</f>
        <v>10.11479252669039</v>
      </c>
      <c r="J18" s="29">
        <f>IF('User Growth'!J29=0,0,J8/'User Growth'!J29)</f>
        <v>10.172118174890455</v>
      </c>
      <c r="K18" s="29">
        <f>IF('User Growth'!K29=0,0,K8/'User Growth'!K29)</f>
        <v>10.227355494157079</v>
      </c>
      <c r="L18" s="29">
        <f>IF('User Growth'!L29=0,0,L8/'User Growth'!L29)</f>
        <v>10.280758708414872</v>
      </c>
      <c r="M18" s="29">
        <f>IF('User Growth'!M29=0,0,M8/'User Growth'!M29)</f>
        <v>10.332205437085157</v>
      </c>
      <c r="N18" s="29">
        <f>IF('User Growth'!N29=0,0,N8/'User Growth'!N29)</f>
        <v>10.382173493996252</v>
      </c>
      <c r="O18" s="29">
        <f>IF('User Growth'!O29=0,0,O8/'User Growth'!O29)</f>
        <v>10.430356411504487</v>
      </c>
      <c r="P18" s="29">
        <f>IF('User Growth'!P29=0,0,P8/'User Growth'!P29)</f>
        <v>10.477124260267923</v>
      </c>
      <c r="Q18" s="29">
        <f>IF('User Growth'!Q29=0,0,Q8/'User Growth'!Q29)</f>
        <v>10.522555263157894</v>
      </c>
      <c r="R18" s="29">
        <f>IF('User Growth'!R29=0,0,R8/'User Growth'!R29)</f>
        <v>10.566629223194948</v>
      </c>
      <c r="S18" s="29">
        <f>IF('User Growth'!S29=0,0,S8/'User Growth'!S29)</f>
        <v>10.609342948895138</v>
      </c>
      <c r="T18" s="29">
        <f>IF('User Growth'!T29=0,0,T8/'User Growth'!T29)</f>
        <v>10.650834861184997</v>
      </c>
      <c r="U18" s="29">
        <f>IF('User Growth'!U29=0,0,U8/'User Growth'!U29)</f>
        <v>10.691197311398264</v>
      </c>
      <c r="V18" s="29">
        <f>IF('User Growth'!V29=0,0,V8/'User Growth'!V29)</f>
        <v>10.73041460586796</v>
      </c>
      <c r="W18" s="29">
        <f>IF('User Growth'!W29=0,0,W8/'User Growth'!W29)</f>
        <v>10.768576537122076</v>
      </c>
      <c r="X18" s="29">
        <f>IF('User Growth'!X29=0,0,X8/'User Growth'!X29)</f>
        <v>10.805818066436125</v>
      </c>
      <c r="Y18" s="29">
        <f>IF('User Growth'!Y29=0,0,Y8/'User Growth'!Y29)</f>
        <v>10.842146644964822</v>
      </c>
      <c r="Z18" s="29">
        <f>IF('User Growth'!Z29=0,0,Z8/'User Growth'!Z29)</f>
        <v>10.877635187484479</v>
      </c>
      <c r="AA18" s="29">
        <f>IF('User Growth'!AA29=0,0,AA8/'User Growth'!AA29)</f>
        <v>10.912287519657445</v>
      </c>
      <c r="AB18" s="29">
        <f>IF('User Growth'!AB29=0,0,AB8/'User Growth'!AB29)</f>
        <v>10.946191754338351</v>
      </c>
      <c r="AC18" s="29">
        <f>IF('User Growth'!AC29=0,0,AC8/'User Growth'!AC29)</f>
        <v>10.979338994950115</v>
      </c>
      <c r="AD18" s="29">
        <f>IF('User Growth'!AD29=0,0,AD8/'User Growth'!AD29)</f>
        <v>11.011793472711803</v>
      </c>
      <c r="AE18" s="29">
        <f>IF('User Growth'!AE29=0,0,AE8/'User Growth'!AE29)</f>
        <v>11.043571928813584</v>
      </c>
      <c r="AF18" s="29">
        <f>IF('User Growth'!AF29=0,0,AF8/'User Growth'!AF29)</f>
        <v>11.074754804392112</v>
      </c>
      <c r="AG18" s="29">
        <f>IF('User Growth'!AG29=0,0,AG8/'User Growth'!AG29)</f>
        <v>11.105327728213943</v>
      </c>
      <c r="AH18" s="29">
        <f>IF('User Growth'!AH29=0,0,AH8/'User Growth'!AH29)</f>
        <v>11.135324329319719</v>
      </c>
      <c r="AI18" s="29">
        <f>IF('User Growth'!AI29=0,0,AI8/'User Growth'!AI29)</f>
        <v>11.164783366787098</v>
      </c>
      <c r="AJ18" s="29">
        <f>IF('User Growth'!AJ29=0,0,AJ8/'User Growth'!AJ29)</f>
        <v>11.193727168903401</v>
      </c>
      <c r="AK18" s="29">
        <f>IF('User Growth'!AK29=0,0,AK8/'User Growth'!AK29)</f>
        <v>11.222190581118049</v>
      </c>
      <c r="AL18" s="29">
        <f>IF('User Growth'!AL29=0,0,AL8/'User Growth'!AL29)</f>
        <v>11.250171421326213</v>
      </c>
    </row>
    <row r="19" spans="1:38" x14ac:dyDescent="0.2">
      <c r="A19" t="s">
        <v>193</v>
      </c>
      <c r="B19" t="s">
        <v>175</v>
      </c>
      <c r="C19">
        <v>0</v>
      </c>
      <c r="D19">
        <f t="shared" ref="D19:AL19" si="5">IF(C8=0,0,(C8+D12-D13)/C8)</f>
        <v>0.92339760148992123</v>
      </c>
      <c r="E19">
        <f t="shared" si="5"/>
        <v>0.94926751140175325</v>
      </c>
      <c r="F19">
        <f t="shared" si="5"/>
        <v>0.95707079286796137</v>
      </c>
      <c r="G19">
        <f t="shared" si="5"/>
        <v>0.96121636767289442</v>
      </c>
      <c r="H19">
        <f t="shared" si="5"/>
        <v>0.9636483419124795</v>
      </c>
      <c r="I19">
        <f t="shared" si="5"/>
        <v>0.96535037070390994</v>
      </c>
      <c r="J19">
        <f t="shared" si="5"/>
        <v>0.96651890643797245</v>
      </c>
      <c r="K19">
        <f t="shared" si="5"/>
        <v>0.96729589873669952</v>
      </c>
      <c r="L19">
        <f t="shared" si="5"/>
        <v>0.96793896244470268</v>
      </c>
      <c r="M19">
        <f t="shared" si="5"/>
        <v>0.96843563514247921</v>
      </c>
      <c r="N19">
        <f t="shared" si="5"/>
        <v>0.96886829883101988</v>
      </c>
      <c r="O19">
        <f t="shared" si="5"/>
        <v>0.96917133511278364</v>
      </c>
      <c r="P19">
        <f t="shared" si="5"/>
        <v>0.96946518990981334</v>
      </c>
      <c r="Q19">
        <f t="shared" si="5"/>
        <v>0.96970686703584708</v>
      </c>
      <c r="R19">
        <f t="shared" si="5"/>
        <v>0.96990221006454558</v>
      </c>
      <c r="S19">
        <f t="shared" si="5"/>
        <v>0.9700608287628778</v>
      </c>
      <c r="T19">
        <f t="shared" si="5"/>
        <v>0.97022052503389433</v>
      </c>
      <c r="U19">
        <f t="shared" si="5"/>
        <v>0.97035342014107306</v>
      </c>
      <c r="V19">
        <f t="shared" si="5"/>
        <v>0.97045462315572573</v>
      </c>
      <c r="W19">
        <f t="shared" si="5"/>
        <v>0.97056348137328508</v>
      </c>
      <c r="X19">
        <f t="shared" si="5"/>
        <v>0.97065318777791509</v>
      </c>
      <c r="Y19">
        <f t="shared" si="5"/>
        <v>0.9707388716354145</v>
      </c>
      <c r="Z19">
        <f t="shared" si="5"/>
        <v>0.97081865318576399</v>
      </c>
      <c r="AA19">
        <f t="shared" si="5"/>
        <v>0.97087711176667901</v>
      </c>
      <c r="AB19">
        <f t="shared" si="5"/>
        <v>0.9709430849820625</v>
      </c>
      <c r="AC19">
        <f t="shared" si="5"/>
        <v>0.97099520267556727</v>
      </c>
      <c r="AD19">
        <f t="shared" si="5"/>
        <v>0.97104625158519553</v>
      </c>
      <c r="AE19">
        <f t="shared" si="5"/>
        <v>0.97108891442280243</v>
      </c>
      <c r="AF19">
        <f t="shared" si="5"/>
        <v>0.97113475559599449</v>
      </c>
      <c r="AG19">
        <f t="shared" si="5"/>
        <v>0.97117034027794991</v>
      </c>
      <c r="AH19">
        <f t="shared" si="5"/>
        <v>0.97120664621737718</v>
      </c>
      <c r="AI19">
        <f t="shared" si="5"/>
        <v>0.97123899561743277</v>
      </c>
      <c r="AJ19">
        <f t="shared" si="5"/>
        <v>0.97126892484651894</v>
      </c>
      <c r="AK19">
        <f t="shared" si="5"/>
        <v>0.97129926150253576</v>
      </c>
      <c r="AL19">
        <f t="shared" si="5"/>
        <v>0.97132559247606953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59E0B"/>
  </sheetPr>
  <dimension ref="A1:AL24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30" customWidth="1"/>
    <col min="2" max="2" width="8" customWidth="1"/>
    <col min="3" max="38" width="14" customWidth="1"/>
  </cols>
  <sheetData>
    <row r="1" spans="1:38" ht="18" x14ac:dyDescent="0.2">
      <c r="A1" s="1" t="s">
        <v>194</v>
      </c>
    </row>
    <row r="2" spans="1:38" x14ac:dyDescent="0.2">
      <c r="A2" s="2" t="s">
        <v>195</v>
      </c>
    </row>
    <row r="4" spans="1:38" x14ac:dyDescent="0.2">
      <c r="A4" s="19" t="s">
        <v>112</v>
      </c>
      <c r="B4" s="19" t="s">
        <v>113</v>
      </c>
      <c r="C4" s="20" t="s">
        <v>114</v>
      </c>
      <c r="D4" s="20" t="s">
        <v>115</v>
      </c>
      <c r="E4" s="20" t="s">
        <v>116</v>
      </c>
      <c r="F4" s="20" t="s">
        <v>117</v>
      </c>
      <c r="G4" s="20" t="s">
        <v>118</v>
      </c>
      <c r="H4" s="20" t="s">
        <v>119</v>
      </c>
      <c r="I4" s="20" t="s">
        <v>120</v>
      </c>
      <c r="J4" s="20" t="s">
        <v>121</v>
      </c>
      <c r="K4" s="20" t="s">
        <v>122</v>
      </c>
      <c r="L4" s="20" t="s">
        <v>123</v>
      </c>
      <c r="M4" s="20" t="s">
        <v>124</v>
      </c>
      <c r="N4" s="20" t="s">
        <v>125</v>
      </c>
      <c r="O4" s="20" t="s">
        <v>126</v>
      </c>
      <c r="P4" s="20" t="s">
        <v>127</v>
      </c>
      <c r="Q4" s="20" t="s">
        <v>128</v>
      </c>
      <c r="R4" s="20" t="s">
        <v>129</v>
      </c>
      <c r="S4" s="20" t="s">
        <v>130</v>
      </c>
      <c r="T4" s="20" t="s">
        <v>131</v>
      </c>
      <c r="U4" s="20" t="s">
        <v>132</v>
      </c>
      <c r="V4" s="20" t="s">
        <v>133</v>
      </c>
      <c r="W4" s="20" t="s">
        <v>134</v>
      </c>
      <c r="X4" s="20" t="s">
        <v>135</v>
      </c>
      <c r="Y4" s="20" t="s">
        <v>136</v>
      </c>
      <c r="Z4" s="20" t="s">
        <v>137</v>
      </c>
      <c r="AA4" s="20" t="s">
        <v>138</v>
      </c>
      <c r="AB4" s="20" t="s">
        <v>139</v>
      </c>
      <c r="AC4" s="20" t="s">
        <v>140</v>
      </c>
      <c r="AD4" s="20" t="s">
        <v>141</v>
      </c>
      <c r="AE4" s="20" t="s">
        <v>142</v>
      </c>
      <c r="AF4" s="20" t="s">
        <v>143</v>
      </c>
      <c r="AG4" s="20" t="s">
        <v>144</v>
      </c>
      <c r="AH4" s="20" t="s">
        <v>145</v>
      </c>
      <c r="AI4" s="20" t="s">
        <v>146</v>
      </c>
      <c r="AJ4" s="20" t="s">
        <v>147</v>
      </c>
      <c r="AK4" s="20" t="s">
        <v>148</v>
      </c>
      <c r="AL4" s="20" t="s">
        <v>149</v>
      </c>
    </row>
    <row r="5" spans="1:38" x14ac:dyDescent="0.2">
      <c r="A5" s="3" t="s">
        <v>196</v>
      </c>
      <c r="B5" s="4"/>
      <c r="C5" s="4"/>
      <c r="D5" s="4"/>
      <c r="E5" s="4"/>
    </row>
    <row r="6" spans="1:38" x14ac:dyDescent="0.2">
      <c r="A6" s="6" t="s">
        <v>197</v>
      </c>
      <c r="B6" s="6" t="s">
        <v>180</v>
      </c>
      <c r="C6" s="24">
        <f>'User Growth'!C15*Assumptions!$B$33</f>
        <v>2236.35</v>
      </c>
      <c r="D6" s="24">
        <f>'User Growth'!D15*Assumptions!$B$33</f>
        <v>4600.5</v>
      </c>
      <c r="E6" s="24">
        <f>'User Growth'!E15*Assumptions!$B$33</f>
        <v>7107.9</v>
      </c>
      <c r="F6" s="24">
        <f>'User Growth'!F15*Assumptions!$B$33</f>
        <v>9772.7999999999993</v>
      </c>
      <c r="G6" s="24">
        <f>'User Growth'!G15*Assumptions!$B$33</f>
        <v>12608.1</v>
      </c>
      <c r="H6" s="24">
        <f>'User Growth'!H15*Assumptions!$B$33</f>
        <v>15626.849999999999</v>
      </c>
      <c r="I6" s="24">
        <f>'User Growth'!I15*Assumptions!$B$33</f>
        <v>18840</v>
      </c>
      <c r="J6" s="24">
        <f>'User Growth'!J15*Assumptions!$B$33</f>
        <v>22258.2</v>
      </c>
      <c r="K6" s="24">
        <f>'User Growth'!K15*Assumptions!$B$33</f>
        <v>25890.899999999998</v>
      </c>
      <c r="L6" s="24">
        <f>'User Growth'!L15*Assumptions!$B$33</f>
        <v>29746.5</v>
      </c>
      <c r="M6" s="24">
        <f>'User Growth'!M15*Assumptions!$B$33</f>
        <v>33832.799999999996</v>
      </c>
      <c r="N6" s="24">
        <f>'User Growth'!N15*Assumptions!$B$33</f>
        <v>38156.25</v>
      </c>
      <c r="O6" s="24">
        <f>'User Growth'!O15*Assumptions!$B$33</f>
        <v>42722.549999999996</v>
      </c>
      <c r="P6" s="24">
        <f>'User Growth'!P15*Assumptions!$B$33</f>
        <v>47536.65</v>
      </c>
      <c r="Q6" s="24">
        <f>'User Growth'!Q15*Assumptions!$B$33</f>
        <v>52602.9</v>
      </c>
      <c r="R6" s="24">
        <f>'User Growth'!R15*Assumptions!$B$33</f>
        <v>57924.299999999996</v>
      </c>
      <c r="S6" s="24">
        <f>'User Growth'!S15*Assumptions!$B$33</f>
        <v>63503.549999999996</v>
      </c>
      <c r="T6" s="24">
        <f>'User Growth'!T15*Assumptions!$B$33</f>
        <v>69342.45</v>
      </c>
      <c r="U6" s="24">
        <f>'User Growth'!U15*Assumptions!$B$33</f>
        <v>75442.05</v>
      </c>
      <c r="V6" s="24">
        <f>'User Growth'!V15*Assumptions!$B$33</f>
        <v>81802.8</v>
      </c>
      <c r="W6" s="24">
        <f>'User Growth'!W15*Assumptions!$B$33</f>
        <v>88424.55</v>
      </c>
      <c r="X6" s="24">
        <f>'User Growth'!X15*Assumptions!$B$33</f>
        <v>95306.7</v>
      </c>
      <c r="Y6" s="24">
        <f>'User Growth'!Y15*Assumptions!$B$33</f>
        <v>102448.05</v>
      </c>
      <c r="Z6" s="24">
        <f>'User Growth'!Z15*Assumptions!$B$33</f>
        <v>109846.95</v>
      </c>
      <c r="AA6" s="24">
        <f>'User Growth'!AA15*Assumptions!$B$33</f>
        <v>117501.75</v>
      </c>
      <c r="AB6" s="24">
        <f>'User Growth'!AB15*Assumptions!$B$33</f>
        <v>125410.34999999999</v>
      </c>
      <c r="AC6" s="24">
        <f>'User Growth'!AC15*Assumptions!$B$33</f>
        <v>133569.9</v>
      </c>
      <c r="AD6" s="24">
        <f>'User Growth'!AD15*Assumptions!$B$33</f>
        <v>141977.69999999998</v>
      </c>
      <c r="AE6" s="24">
        <f>'User Growth'!AE15*Assumptions!$B$33</f>
        <v>150630.44999999998</v>
      </c>
      <c r="AF6" s="24">
        <f>'User Growth'!AF15*Assumptions!$B$33</f>
        <v>159525.15</v>
      </c>
      <c r="AG6" s="24">
        <f>'User Growth'!AG15*Assumptions!$B$33</f>
        <v>168658.65</v>
      </c>
      <c r="AH6" s="24">
        <f>'User Growth'!AH15*Assumptions!$B$33</f>
        <v>178027.5</v>
      </c>
      <c r="AI6" s="24">
        <f>'User Growth'!AI15*Assumptions!$B$33</f>
        <v>187628.25</v>
      </c>
      <c r="AJ6" s="24">
        <f>'User Growth'!AJ15*Assumptions!$B$33</f>
        <v>197457.44999999998</v>
      </c>
      <c r="AK6" s="24">
        <f>'User Growth'!AK15*Assumptions!$B$33</f>
        <v>207511.8</v>
      </c>
      <c r="AL6" s="24">
        <f>'User Growth'!AL15*Assumptions!$B$33</f>
        <v>217787.85</v>
      </c>
    </row>
    <row r="7" spans="1:38" x14ac:dyDescent="0.2">
      <c r="A7" s="6" t="s">
        <v>198</v>
      </c>
      <c r="B7" s="6" t="s">
        <v>180</v>
      </c>
      <c r="C7" s="24">
        <f>'User Growth'!C29*Assumptions!$B$32</f>
        <v>1394</v>
      </c>
      <c r="D7" s="24">
        <f>'User Growth'!D29*Assumptions!$B$32</f>
        <v>4196</v>
      </c>
      <c r="E7" s="24">
        <f>'User Growth'!E29*Assumptions!$B$32</f>
        <v>8432</v>
      </c>
      <c r="F7" s="24">
        <f>'User Growth'!F29*Assumptions!$B$32</f>
        <v>14132</v>
      </c>
      <c r="G7" s="24">
        <f>'User Growth'!G29*Assumptions!$B$32</f>
        <v>21340</v>
      </c>
      <c r="H7" s="24">
        <f>'User Growth'!H29*Assumptions!$B$32</f>
        <v>30098</v>
      </c>
      <c r="I7" s="24">
        <f>'User Growth'!I29*Assumptions!$B$32</f>
        <v>40464</v>
      </c>
      <c r="J7" s="24">
        <f>'User Growth'!J29*Assumptions!$B$32</f>
        <v>52490</v>
      </c>
      <c r="K7" s="24">
        <f>'User Growth'!K29*Assumptions!$B$32</f>
        <v>66234</v>
      </c>
      <c r="L7" s="24">
        <f>'User Growth'!L29*Assumptions!$B$32</f>
        <v>81760</v>
      </c>
      <c r="M7" s="24">
        <f>'User Growth'!M29*Assumptions!$B$32</f>
        <v>99134</v>
      </c>
      <c r="N7" s="24">
        <f>'User Growth'!N29*Assumptions!$B$32</f>
        <v>118426</v>
      </c>
      <c r="O7" s="24">
        <f>'User Growth'!O29*Assumptions!$B$32</f>
        <v>139702</v>
      </c>
      <c r="P7" s="24">
        <f>'User Growth'!P29*Assumptions!$B$32</f>
        <v>163032</v>
      </c>
      <c r="Q7" s="24">
        <f>'User Growth'!Q29*Assumptions!$B$32</f>
        <v>188480</v>
      </c>
      <c r="R7" s="24">
        <f>'User Growth'!R29*Assumptions!$B$32</f>
        <v>216116</v>
      </c>
      <c r="S7" s="24">
        <f>'User Growth'!S29*Assumptions!$B$32</f>
        <v>246004</v>
      </c>
      <c r="T7" s="24">
        <f>'User Growth'!T29*Assumptions!$B$32</f>
        <v>278212</v>
      </c>
      <c r="U7" s="24">
        <f>'User Growth'!U29*Assumptions!$B$32</f>
        <v>312802</v>
      </c>
      <c r="V7" s="24">
        <f>'User Growth'!V29*Assumptions!$B$32</f>
        <v>349832</v>
      </c>
      <c r="W7" s="24">
        <f>'User Growth'!W29*Assumptions!$B$32</f>
        <v>389364</v>
      </c>
      <c r="X7" s="24">
        <f>'User Growth'!X29*Assumptions!$B$32</f>
        <v>431452</v>
      </c>
      <c r="Y7" s="24">
        <f>'User Growth'!Y29*Assumptions!$B$32</f>
        <v>476150</v>
      </c>
      <c r="Z7" s="24">
        <f>'User Growth'!Z29*Assumptions!$B$32</f>
        <v>523510</v>
      </c>
      <c r="AA7" s="24">
        <f>'User Growth'!AA29*Assumptions!$B$32</f>
        <v>573574</v>
      </c>
      <c r="AB7" s="24">
        <f>'User Growth'!AB29*Assumptions!$B$32</f>
        <v>626390</v>
      </c>
      <c r="AC7" s="24">
        <f>'User Growth'!AC29*Assumptions!$B$32</f>
        <v>681996</v>
      </c>
      <c r="AD7" s="24">
        <f>'User Growth'!AD29*Assumptions!$B$32</f>
        <v>740430</v>
      </c>
      <c r="AE7" s="24">
        <f>'User Growth'!AE29*Assumptions!$B$32</f>
        <v>801726</v>
      </c>
      <c r="AF7" s="24">
        <f>'User Growth'!AF29*Assumptions!$B$32</f>
        <v>865916</v>
      </c>
      <c r="AG7" s="24">
        <f>'User Growth'!AG29*Assumptions!$B$32</f>
        <v>933028</v>
      </c>
      <c r="AH7" s="24">
        <f>'User Growth'!AH29*Assumptions!$B$32</f>
        <v>1003086</v>
      </c>
      <c r="AI7" s="24">
        <f>'User Growth'!AI29*Assumptions!$B$32</f>
        <v>1076112</v>
      </c>
      <c r="AJ7" s="24">
        <f>'User Growth'!AJ29*Assumptions!$B$32</f>
        <v>1152126</v>
      </c>
      <c r="AK7" s="24">
        <f>'User Growth'!AK29*Assumptions!$B$32</f>
        <v>1231144</v>
      </c>
      <c r="AL7" s="24">
        <f>'User Growth'!AL29*Assumptions!$B$32</f>
        <v>1313182</v>
      </c>
    </row>
    <row r="8" spans="1:38" x14ac:dyDescent="0.2">
      <c r="A8" s="17" t="s">
        <v>199</v>
      </c>
      <c r="B8" s="17" t="s">
        <v>180</v>
      </c>
      <c r="C8" s="25">
        <f t="shared" ref="C8:AL8" si="0">C6+C7</f>
        <v>3630.35</v>
      </c>
      <c r="D8" s="25">
        <f t="shared" si="0"/>
        <v>8796.5</v>
      </c>
      <c r="E8" s="25">
        <f t="shared" si="0"/>
        <v>15539.9</v>
      </c>
      <c r="F8" s="25">
        <f t="shared" si="0"/>
        <v>23904.799999999999</v>
      </c>
      <c r="G8" s="25">
        <f t="shared" si="0"/>
        <v>33948.1</v>
      </c>
      <c r="H8" s="25">
        <f t="shared" si="0"/>
        <v>45724.85</v>
      </c>
      <c r="I8" s="25">
        <f t="shared" si="0"/>
        <v>59304</v>
      </c>
      <c r="J8" s="25">
        <f t="shared" si="0"/>
        <v>74748.2</v>
      </c>
      <c r="K8" s="25">
        <f t="shared" si="0"/>
        <v>92124.9</v>
      </c>
      <c r="L8" s="25">
        <f t="shared" si="0"/>
        <v>111506.5</v>
      </c>
      <c r="M8" s="25">
        <f t="shared" si="0"/>
        <v>132966.79999999999</v>
      </c>
      <c r="N8" s="25">
        <f t="shared" si="0"/>
        <v>156582.25</v>
      </c>
      <c r="O8" s="25">
        <f t="shared" si="0"/>
        <v>182424.55</v>
      </c>
      <c r="P8" s="25">
        <f t="shared" si="0"/>
        <v>210568.65</v>
      </c>
      <c r="Q8" s="25">
        <f t="shared" si="0"/>
        <v>241082.9</v>
      </c>
      <c r="R8" s="25">
        <f t="shared" si="0"/>
        <v>274040.3</v>
      </c>
      <c r="S8" s="25">
        <f t="shared" si="0"/>
        <v>309507.55</v>
      </c>
      <c r="T8" s="25">
        <f t="shared" si="0"/>
        <v>347554.45</v>
      </c>
      <c r="U8" s="25">
        <f t="shared" si="0"/>
        <v>388244.05</v>
      </c>
      <c r="V8" s="25">
        <f t="shared" si="0"/>
        <v>431634.8</v>
      </c>
      <c r="W8" s="25">
        <f t="shared" si="0"/>
        <v>477788.55</v>
      </c>
      <c r="X8" s="25">
        <f t="shared" si="0"/>
        <v>526758.69999999995</v>
      </c>
      <c r="Y8" s="25">
        <f t="shared" si="0"/>
        <v>578598.05000000005</v>
      </c>
      <c r="Z8" s="25">
        <f t="shared" si="0"/>
        <v>633356.94999999995</v>
      </c>
      <c r="AA8" s="25">
        <f t="shared" si="0"/>
        <v>691075.75</v>
      </c>
      <c r="AB8" s="25">
        <f t="shared" si="0"/>
        <v>751800.35</v>
      </c>
      <c r="AC8" s="25">
        <f t="shared" si="0"/>
        <v>815565.9</v>
      </c>
      <c r="AD8" s="25">
        <f t="shared" si="0"/>
        <v>882407.7</v>
      </c>
      <c r="AE8" s="25">
        <f t="shared" si="0"/>
        <v>952356.45</v>
      </c>
      <c r="AF8" s="25">
        <f t="shared" si="0"/>
        <v>1025441.15</v>
      </c>
      <c r="AG8" s="25">
        <f t="shared" si="0"/>
        <v>1101686.6499999999</v>
      </c>
      <c r="AH8" s="25">
        <f t="shared" si="0"/>
        <v>1181113.5</v>
      </c>
      <c r="AI8" s="25">
        <f t="shared" si="0"/>
        <v>1263740.25</v>
      </c>
      <c r="AJ8" s="25">
        <f t="shared" si="0"/>
        <v>1349583.45</v>
      </c>
      <c r="AK8" s="25">
        <f t="shared" si="0"/>
        <v>1438655.8</v>
      </c>
      <c r="AL8" s="25">
        <f t="shared" si="0"/>
        <v>1530969.85</v>
      </c>
    </row>
    <row r="9" spans="1:38" x14ac:dyDescent="0.2">
      <c r="A9" s="3" t="s">
        <v>200</v>
      </c>
      <c r="B9" s="4"/>
      <c r="C9" s="4"/>
      <c r="D9" s="4"/>
      <c r="E9" s="4"/>
    </row>
    <row r="10" spans="1:38" x14ac:dyDescent="0.2">
      <c r="A10" s="6" t="s">
        <v>201</v>
      </c>
      <c r="B10" s="6" t="s">
        <v>152</v>
      </c>
      <c r="C10" s="21">
        <f>Assumptions!B47</f>
        <v>9</v>
      </c>
      <c r="D10" s="21">
        <f>Assumptions!B47</f>
        <v>9</v>
      </c>
      <c r="E10" s="21">
        <f>Assumptions!B47</f>
        <v>9</v>
      </c>
      <c r="F10" s="21">
        <f>Assumptions!B47</f>
        <v>9</v>
      </c>
      <c r="G10" s="21">
        <f>Assumptions!B47</f>
        <v>9</v>
      </c>
      <c r="H10" s="21">
        <f>Assumptions!B47</f>
        <v>9</v>
      </c>
      <c r="I10" s="21">
        <f>Assumptions!C47</f>
        <v>12</v>
      </c>
      <c r="J10" s="21">
        <f>Assumptions!C47</f>
        <v>12</v>
      </c>
      <c r="K10" s="21">
        <f>Assumptions!C47</f>
        <v>12</v>
      </c>
      <c r="L10" s="21">
        <f>Assumptions!C47</f>
        <v>12</v>
      </c>
      <c r="M10" s="21">
        <f>Assumptions!C47</f>
        <v>12</v>
      </c>
      <c r="N10" s="21">
        <f>Assumptions!C47</f>
        <v>12</v>
      </c>
      <c r="O10" s="21">
        <f>Assumptions!C47</f>
        <v>12</v>
      </c>
      <c r="P10" s="21">
        <f>Assumptions!C47</f>
        <v>12</v>
      </c>
      <c r="Q10" s="21">
        <f>Assumptions!C47</f>
        <v>12</v>
      </c>
      <c r="R10" s="21">
        <f>Assumptions!C47</f>
        <v>12</v>
      </c>
      <c r="S10" s="21">
        <f>Assumptions!C47</f>
        <v>12</v>
      </c>
      <c r="T10" s="21">
        <f>Assumptions!C47</f>
        <v>12</v>
      </c>
      <c r="U10" s="21">
        <f>Assumptions!D47</f>
        <v>18</v>
      </c>
      <c r="V10" s="21">
        <f>Assumptions!D47</f>
        <v>18</v>
      </c>
      <c r="W10" s="21">
        <f>Assumptions!D47</f>
        <v>18</v>
      </c>
      <c r="X10" s="21">
        <f>Assumptions!D47</f>
        <v>18</v>
      </c>
      <c r="Y10" s="21">
        <f>Assumptions!D47</f>
        <v>18</v>
      </c>
      <c r="Z10" s="21">
        <f>Assumptions!D47</f>
        <v>18</v>
      </c>
      <c r="AA10" s="21">
        <f>Assumptions!D47</f>
        <v>18</v>
      </c>
      <c r="AB10" s="21">
        <f>Assumptions!D47</f>
        <v>18</v>
      </c>
      <c r="AC10" s="21">
        <f>Assumptions!D47</f>
        <v>18</v>
      </c>
      <c r="AD10" s="21">
        <f>Assumptions!D47</f>
        <v>18</v>
      </c>
      <c r="AE10" s="21">
        <f>Assumptions!D47</f>
        <v>18</v>
      </c>
      <c r="AF10" s="21">
        <f>Assumptions!D47</f>
        <v>18</v>
      </c>
      <c r="AG10" s="21">
        <f>Assumptions!D47</f>
        <v>18</v>
      </c>
      <c r="AH10" s="21">
        <f>Assumptions!D47</f>
        <v>18</v>
      </c>
      <c r="AI10" s="21">
        <f>Assumptions!D47</f>
        <v>18</v>
      </c>
      <c r="AJ10" s="21">
        <f>Assumptions!D47</f>
        <v>18</v>
      </c>
      <c r="AK10" s="21">
        <f>Assumptions!D47</f>
        <v>18</v>
      </c>
      <c r="AL10" s="21">
        <f>Assumptions!D47</f>
        <v>18</v>
      </c>
    </row>
    <row r="11" spans="1:38" x14ac:dyDescent="0.2">
      <c r="A11" s="17" t="s">
        <v>202</v>
      </c>
      <c r="B11" s="17" t="s">
        <v>180</v>
      </c>
      <c r="C11" s="25">
        <f>C10*Assumptions!$B$48/12</f>
        <v>112500</v>
      </c>
      <c r="D11" s="25">
        <f>D10*Assumptions!$B$48/12</f>
        <v>112500</v>
      </c>
      <c r="E11" s="25">
        <f>E10*Assumptions!$B$48/12</f>
        <v>112500</v>
      </c>
      <c r="F11" s="25">
        <f>F10*Assumptions!$B$48/12</f>
        <v>112500</v>
      </c>
      <c r="G11" s="25">
        <f>G10*Assumptions!$B$48/12</f>
        <v>112500</v>
      </c>
      <c r="H11" s="25">
        <f>H10*Assumptions!$B$48/12</f>
        <v>112500</v>
      </c>
      <c r="I11" s="25">
        <f>I10*Assumptions!$B$48/12</f>
        <v>150000</v>
      </c>
      <c r="J11" s="25">
        <f>J10*Assumptions!$B$48/12</f>
        <v>150000</v>
      </c>
      <c r="K11" s="25">
        <f>K10*Assumptions!$B$48/12</f>
        <v>150000</v>
      </c>
      <c r="L11" s="25">
        <f>L10*Assumptions!$B$48/12</f>
        <v>150000</v>
      </c>
      <c r="M11" s="25">
        <f>M10*Assumptions!$B$48/12</f>
        <v>150000</v>
      </c>
      <c r="N11" s="25">
        <f>N10*Assumptions!$B$48/12</f>
        <v>150000</v>
      </c>
      <c r="O11" s="25">
        <f>O10*Assumptions!$B$48/12</f>
        <v>150000</v>
      </c>
      <c r="P11" s="25">
        <f>P10*Assumptions!$B$48/12</f>
        <v>150000</v>
      </c>
      <c r="Q11" s="25">
        <f>Q10*Assumptions!$B$48/12</f>
        <v>150000</v>
      </c>
      <c r="R11" s="25">
        <f>R10*Assumptions!$B$48/12</f>
        <v>150000</v>
      </c>
      <c r="S11" s="25">
        <f>S10*Assumptions!$B$48/12</f>
        <v>150000</v>
      </c>
      <c r="T11" s="25">
        <f>T10*Assumptions!$B$48/12</f>
        <v>150000</v>
      </c>
      <c r="U11" s="25">
        <f>U10*Assumptions!$B$48/12</f>
        <v>225000</v>
      </c>
      <c r="V11" s="25">
        <f>V10*Assumptions!$B$48/12</f>
        <v>225000</v>
      </c>
      <c r="W11" s="25">
        <f>W10*Assumptions!$B$48/12</f>
        <v>225000</v>
      </c>
      <c r="X11" s="25">
        <f>X10*Assumptions!$B$48/12</f>
        <v>225000</v>
      </c>
      <c r="Y11" s="25">
        <f>Y10*Assumptions!$B$48/12</f>
        <v>225000</v>
      </c>
      <c r="Z11" s="25">
        <f>Z10*Assumptions!$B$48/12</f>
        <v>225000</v>
      </c>
      <c r="AA11" s="25">
        <f>AA10*Assumptions!$B$48/12</f>
        <v>225000</v>
      </c>
      <c r="AB11" s="25">
        <f>AB10*Assumptions!$B$48/12</f>
        <v>225000</v>
      </c>
      <c r="AC11" s="25">
        <f>AC10*Assumptions!$B$48/12</f>
        <v>225000</v>
      </c>
      <c r="AD11" s="25">
        <f>AD10*Assumptions!$B$48/12</f>
        <v>225000</v>
      </c>
      <c r="AE11" s="25">
        <f>AE10*Assumptions!$B$48/12</f>
        <v>225000</v>
      </c>
      <c r="AF11" s="25">
        <f>AF10*Assumptions!$B$48/12</f>
        <v>225000</v>
      </c>
      <c r="AG11" s="25">
        <f>AG10*Assumptions!$B$48/12</f>
        <v>225000</v>
      </c>
      <c r="AH11" s="25">
        <f>AH10*Assumptions!$B$48/12</f>
        <v>225000</v>
      </c>
      <c r="AI11" s="25">
        <f>AI10*Assumptions!$B$48/12</f>
        <v>225000</v>
      </c>
      <c r="AJ11" s="25">
        <f>AJ10*Assumptions!$B$48/12</f>
        <v>225000</v>
      </c>
      <c r="AK11" s="25">
        <f>AK10*Assumptions!$B$48/12</f>
        <v>225000</v>
      </c>
      <c r="AL11" s="25">
        <f>AL10*Assumptions!$B$48/12</f>
        <v>225000</v>
      </c>
    </row>
    <row r="12" spans="1:38" x14ac:dyDescent="0.2">
      <c r="A12" s="3" t="s">
        <v>203</v>
      </c>
      <c r="B12" s="4"/>
      <c r="C12" s="4"/>
      <c r="D12" s="4"/>
      <c r="E12" s="4"/>
    </row>
    <row r="13" spans="1:38" x14ac:dyDescent="0.2">
      <c r="A13" s="6" t="s">
        <v>204</v>
      </c>
      <c r="B13" s="6" t="s">
        <v>180</v>
      </c>
      <c r="C13" s="24">
        <f>Assumptions!$B$58+'User Growth'!C28*Assumptions!$B$65</f>
        <v>10312.120000000001</v>
      </c>
      <c r="D13" s="24">
        <f>Assumptions!$B$58+'User Growth'!D28*Assumptions!$B$65</f>
        <v>10655.36</v>
      </c>
      <c r="E13" s="24">
        <f>Assumptions!$B$58+'User Growth'!E28*Assumptions!$B$65</f>
        <v>11032.04</v>
      </c>
      <c r="F13" s="24">
        <f>Assumptions!$B$58+'User Growth'!F28*Assumptions!$B$65</f>
        <v>11444.36</v>
      </c>
      <c r="G13" s="24">
        <f>Assumptions!$B$58+'User Growth'!G28*Assumptions!$B$65</f>
        <v>11894.48</v>
      </c>
      <c r="H13" s="24">
        <f>Assumptions!$B$58+'User Growth'!H28*Assumptions!$B$65</f>
        <v>12384.56</v>
      </c>
      <c r="I13" s="24">
        <f>Assumptions!$B$58+'User Growth'!I28*Assumptions!$B$65</f>
        <v>12916.64</v>
      </c>
      <c r="J13" s="24">
        <f>Assumptions!$B$58+'User Growth'!J28*Assumptions!$B$65</f>
        <v>13492.66</v>
      </c>
      <c r="K13" s="24">
        <f>Assumptions!$B$58+'User Growth'!K28*Assumptions!$B$65</f>
        <v>14114.46</v>
      </c>
      <c r="L13" s="24">
        <f>Assumptions!$B$58+'User Growth'!L28*Assumptions!$B$65</f>
        <v>14783.8</v>
      </c>
      <c r="M13" s="24">
        <f>Assumptions!$B$58+'User Growth'!M28*Assumptions!$B$65</f>
        <v>15502.380000000001</v>
      </c>
      <c r="N13" s="24">
        <f>Assumptions!$B$58+'User Growth'!N28*Assumptions!$B$65</f>
        <v>16271.76</v>
      </c>
      <c r="O13" s="24">
        <f>Assumptions!$B$58+'User Growth'!O28*Assumptions!$B$65</f>
        <v>17093.36</v>
      </c>
      <c r="P13" s="24">
        <f>Assumptions!$B$58+'User Growth'!P28*Assumptions!$B$65</f>
        <v>17968.54</v>
      </c>
      <c r="Q13" s="24">
        <f>Assumptions!$B$58+'User Growth'!Q28*Assumptions!$B$65</f>
        <v>18898.52</v>
      </c>
      <c r="R13" s="24">
        <f>Assumptions!$B$58+'User Growth'!R28*Assumptions!$B$65</f>
        <v>19884.400000000001</v>
      </c>
      <c r="S13" s="24">
        <f>Assumptions!$B$58+'User Growth'!S28*Assumptions!$B$65</f>
        <v>20927.18</v>
      </c>
      <c r="T13" s="24">
        <f>Assumptions!$B$58+'User Growth'!T28*Assumptions!$B$65</f>
        <v>22027.78</v>
      </c>
      <c r="U13" s="24">
        <f>Assumptions!$B$58+'User Growth'!U28*Assumptions!$B$65</f>
        <v>23186.959999999999</v>
      </c>
      <c r="V13" s="24">
        <f>Assumptions!$B$58+'User Growth'!V28*Assumptions!$B$65</f>
        <v>24405.360000000001</v>
      </c>
      <c r="W13" s="24">
        <f>Assumptions!$B$58+'User Growth'!W28*Assumptions!$B$65</f>
        <v>25683.58</v>
      </c>
      <c r="X13" s="24">
        <f>Assumptions!$B$58+'User Growth'!X28*Assumptions!$B$65</f>
        <v>27022.080000000002</v>
      </c>
      <c r="Y13" s="24">
        <f>Assumptions!$B$58+'User Growth'!Y28*Assumptions!$B$65</f>
        <v>28421.24</v>
      </c>
      <c r="Z13" s="24">
        <f>Assumptions!$B$58+'User Growth'!Z28*Assumptions!$B$65</f>
        <v>29881.360000000001</v>
      </c>
      <c r="AA13" s="24">
        <f>Assumptions!$B$58+'User Growth'!AA28*Assumptions!$B$65</f>
        <v>31402.639999999999</v>
      </c>
      <c r="AB13" s="24">
        <f>Assumptions!$B$58+'User Growth'!AB28*Assumptions!$B$65</f>
        <v>32985.279999999999</v>
      </c>
      <c r="AC13" s="24">
        <f>Assumptions!$B$58+'User Growth'!AC28*Assumptions!$B$65</f>
        <v>34629.279999999999</v>
      </c>
      <c r="AD13" s="24">
        <f>Assumptions!$B$58+'User Growth'!AD28*Assumptions!$B$65</f>
        <v>36334.660000000003</v>
      </c>
      <c r="AE13" s="24">
        <f>Assumptions!$B$58+'User Growth'!AE28*Assumptions!$B$65</f>
        <v>38101.32</v>
      </c>
      <c r="AF13" s="24">
        <f>Assumptions!$B$58+'User Growth'!AF28*Assumptions!$B$65</f>
        <v>39929.18</v>
      </c>
      <c r="AG13" s="24">
        <f>Assumptions!$B$58+'User Growth'!AG28*Assumptions!$B$65</f>
        <v>41818.100000000006</v>
      </c>
      <c r="AH13" s="24">
        <f>Assumptions!$B$58+'User Growth'!AH28*Assumptions!$B$65</f>
        <v>43767.86</v>
      </c>
      <c r="AI13" s="24">
        <f>Assumptions!$B$58+'User Growth'!AI28*Assumptions!$B$65</f>
        <v>45778.22</v>
      </c>
      <c r="AJ13" s="24">
        <f>Assumptions!$B$58+'User Growth'!AJ28*Assumptions!$B$65</f>
        <v>47848.92</v>
      </c>
      <c r="AK13" s="24">
        <f>Assumptions!$B$58+'User Growth'!AK28*Assumptions!$B$65</f>
        <v>49979.68</v>
      </c>
      <c r="AL13" s="24">
        <f>Assumptions!$B$58+'User Growth'!AL28*Assumptions!$B$65</f>
        <v>52170.200000000004</v>
      </c>
    </row>
    <row r="14" spans="1:38" x14ac:dyDescent="0.2">
      <c r="A14" s="6" t="s">
        <v>205</v>
      </c>
      <c r="B14" s="6" t="s">
        <v>180</v>
      </c>
      <c r="C14" s="24">
        <f>Assumptions!$B$59+'User Growth'!C28*Assumptions!$B$66</f>
        <v>5156.0600000000004</v>
      </c>
      <c r="D14" s="24">
        <f>Assumptions!$B$59+'User Growth'!D28*Assumptions!$B$66</f>
        <v>5327.68</v>
      </c>
      <c r="E14" s="24">
        <f>Assumptions!$B$59+'User Growth'!E28*Assumptions!$B$66</f>
        <v>5516.02</v>
      </c>
      <c r="F14" s="24">
        <f>Assumptions!$B$59+'User Growth'!F28*Assumptions!$B$66</f>
        <v>5722.18</v>
      </c>
      <c r="G14" s="24">
        <f>Assumptions!$B$59+'User Growth'!G28*Assumptions!$B$66</f>
        <v>5947.24</v>
      </c>
      <c r="H14" s="24">
        <f>Assumptions!$B$59+'User Growth'!H28*Assumptions!$B$66</f>
        <v>6192.28</v>
      </c>
      <c r="I14" s="24">
        <f>Assumptions!$B$59+'User Growth'!I28*Assumptions!$B$66</f>
        <v>6458.32</v>
      </c>
      <c r="J14" s="24">
        <f>Assumptions!$B$59+'User Growth'!J28*Assumptions!$B$66</f>
        <v>6746.33</v>
      </c>
      <c r="K14" s="24">
        <f>Assumptions!$B$59+'User Growth'!K28*Assumptions!$B$66</f>
        <v>7057.23</v>
      </c>
      <c r="L14" s="24">
        <f>Assumptions!$B$59+'User Growth'!L28*Assumptions!$B$66</f>
        <v>7391.9</v>
      </c>
      <c r="M14" s="24">
        <f>Assumptions!$B$59+'User Growth'!M28*Assumptions!$B$66</f>
        <v>7751.1900000000005</v>
      </c>
      <c r="N14" s="24">
        <f>Assumptions!$B$59+'User Growth'!N28*Assumptions!$B$66</f>
        <v>8135.88</v>
      </c>
      <c r="O14" s="24">
        <f>Assumptions!$B$59+'User Growth'!O28*Assumptions!$B$66</f>
        <v>8546.68</v>
      </c>
      <c r="P14" s="24">
        <f>Assumptions!$B$59+'User Growth'!P28*Assumptions!$B$66</f>
        <v>8984.27</v>
      </c>
      <c r="Q14" s="24">
        <f>Assumptions!$B$59+'User Growth'!Q28*Assumptions!$B$66</f>
        <v>9449.26</v>
      </c>
      <c r="R14" s="24">
        <f>Assumptions!$B$59+'User Growth'!R28*Assumptions!$B$66</f>
        <v>9942.2000000000007</v>
      </c>
      <c r="S14" s="24">
        <f>Assumptions!$B$59+'User Growth'!S28*Assumptions!$B$66</f>
        <v>10463.59</v>
      </c>
      <c r="T14" s="24">
        <f>Assumptions!$B$59+'User Growth'!T28*Assumptions!$B$66</f>
        <v>11013.89</v>
      </c>
      <c r="U14" s="24">
        <f>Assumptions!$B$59+'User Growth'!U28*Assumptions!$B$66</f>
        <v>11593.48</v>
      </c>
      <c r="V14" s="24">
        <f>Assumptions!$B$59+'User Growth'!V28*Assumptions!$B$66</f>
        <v>12202.68</v>
      </c>
      <c r="W14" s="24">
        <f>Assumptions!$B$59+'User Growth'!W28*Assumptions!$B$66</f>
        <v>12841.79</v>
      </c>
      <c r="X14" s="24">
        <f>Assumptions!$B$59+'User Growth'!X28*Assumptions!$B$66</f>
        <v>13511.04</v>
      </c>
      <c r="Y14" s="24">
        <f>Assumptions!$B$59+'User Growth'!Y28*Assumptions!$B$66</f>
        <v>14210.62</v>
      </c>
      <c r="Z14" s="24">
        <f>Assumptions!$B$59+'User Growth'!Z28*Assumptions!$B$66</f>
        <v>14940.68</v>
      </c>
      <c r="AA14" s="24">
        <f>Assumptions!$B$59+'User Growth'!AA28*Assumptions!$B$66</f>
        <v>15701.32</v>
      </c>
      <c r="AB14" s="24">
        <f>Assumptions!$B$59+'User Growth'!AB28*Assumptions!$B$66</f>
        <v>16492.64</v>
      </c>
      <c r="AC14" s="24">
        <f>Assumptions!$B$59+'User Growth'!AC28*Assumptions!$B$66</f>
        <v>17314.64</v>
      </c>
      <c r="AD14" s="24">
        <f>Assumptions!$B$59+'User Growth'!AD28*Assumptions!$B$66</f>
        <v>18167.330000000002</v>
      </c>
      <c r="AE14" s="24">
        <f>Assumptions!$B$59+'User Growth'!AE28*Assumptions!$B$66</f>
        <v>19050.66</v>
      </c>
      <c r="AF14" s="24">
        <f>Assumptions!$B$59+'User Growth'!AF28*Assumptions!$B$66</f>
        <v>19964.59</v>
      </c>
      <c r="AG14" s="24">
        <f>Assumptions!$B$59+'User Growth'!AG28*Assumptions!$B$66</f>
        <v>20909.050000000003</v>
      </c>
      <c r="AH14" s="24">
        <f>Assumptions!$B$59+'User Growth'!AH28*Assumptions!$B$66</f>
        <v>21883.93</v>
      </c>
      <c r="AI14" s="24">
        <f>Assumptions!$B$59+'User Growth'!AI28*Assumptions!$B$66</f>
        <v>22889.11</v>
      </c>
      <c r="AJ14" s="24">
        <f>Assumptions!$B$59+'User Growth'!AJ28*Assumptions!$B$66</f>
        <v>23924.46</v>
      </c>
      <c r="AK14" s="24">
        <f>Assumptions!$B$59+'User Growth'!AK28*Assumptions!$B$66</f>
        <v>24989.84</v>
      </c>
      <c r="AL14" s="24">
        <f>Assumptions!$B$59+'User Growth'!AL28*Assumptions!$B$66</f>
        <v>26085.100000000002</v>
      </c>
    </row>
    <row r="15" spans="1:38" x14ac:dyDescent="0.2">
      <c r="A15" s="6" t="s">
        <v>206</v>
      </c>
      <c r="B15" s="6" t="s">
        <v>180</v>
      </c>
      <c r="C15" s="24">
        <f>Assumptions!$B$60</f>
        <v>4000</v>
      </c>
      <c r="D15" s="24">
        <f>Assumptions!$B$60</f>
        <v>4000</v>
      </c>
      <c r="E15" s="24">
        <f>Assumptions!$B$60</f>
        <v>4000</v>
      </c>
      <c r="F15" s="24">
        <f>Assumptions!$B$60</f>
        <v>4000</v>
      </c>
      <c r="G15" s="24">
        <f>Assumptions!$B$60</f>
        <v>4000</v>
      </c>
      <c r="H15" s="24">
        <f>Assumptions!$B$60</f>
        <v>4000</v>
      </c>
      <c r="I15" s="24">
        <f>Assumptions!$B$60</f>
        <v>4000</v>
      </c>
      <c r="J15" s="24">
        <f>Assumptions!$B$60</f>
        <v>4000</v>
      </c>
      <c r="K15" s="24">
        <f>Assumptions!$B$60</f>
        <v>4000</v>
      </c>
      <c r="L15" s="24">
        <f>Assumptions!$B$60</f>
        <v>4000</v>
      </c>
      <c r="M15" s="24">
        <f>Assumptions!$B$60</f>
        <v>4000</v>
      </c>
      <c r="N15" s="24">
        <f>Assumptions!$B$60</f>
        <v>4000</v>
      </c>
      <c r="O15" s="24">
        <f>Assumptions!$B$60</f>
        <v>4000</v>
      </c>
      <c r="P15" s="24">
        <f>Assumptions!$B$60</f>
        <v>4000</v>
      </c>
      <c r="Q15" s="24">
        <f>Assumptions!$B$60</f>
        <v>4000</v>
      </c>
      <c r="R15" s="24">
        <f>Assumptions!$B$60</f>
        <v>4000</v>
      </c>
      <c r="S15" s="24">
        <f>Assumptions!$B$60</f>
        <v>4000</v>
      </c>
      <c r="T15" s="24">
        <f>Assumptions!$B$60</f>
        <v>4000</v>
      </c>
      <c r="U15" s="24">
        <f>Assumptions!$B$60</f>
        <v>4000</v>
      </c>
      <c r="V15" s="24">
        <f>Assumptions!$B$60</f>
        <v>4000</v>
      </c>
      <c r="W15" s="24">
        <f>Assumptions!$B$60</f>
        <v>4000</v>
      </c>
      <c r="X15" s="24">
        <f>Assumptions!$B$60</f>
        <v>4000</v>
      </c>
      <c r="Y15" s="24">
        <f>Assumptions!$B$60</f>
        <v>4000</v>
      </c>
      <c r="Z15" s="24">
        <f>Assumptions!$B$60</f>
        <v>4000</v>
      </c>
      <c r="AA15" s="24">
        <f>Assumptions!$B$60</f>
        <v>4000</v>
      </c>
      <c r="AB15" s="24">
        <f>Assumptions!$B$60</f>
        <v>4000</v>
      </c>
      <c r="AC15" s="24">
        <f>Assumptions!$B$60</f>
        <v>4000</v>
      </c>
      <c r="AD15" s="24">
        <f>Assumptions!$B$60</f>
        <v>4000</v>
      </c>
      <c r="AE15" s="24">
        <f>Assumptions!$B$60</f>
        <v>4000</v>
      </c>
      <c r="AF15" s="24">
        <f>Assumptions!$B$60</f>
        <v>4000</v>
      </c>
      <c r="AG15" s="24">
        <f>Assumptions!$B$60</f>
        <v>4000</v>
      </c>
      <c r="AH15" s="24">
        <f>Assumptions!$B$60</f>
        <v>4000</v>
      </c>
      <c r="AI15" s="24">
        <f>Assumptions!$B$60</f>
        <v>4000</v>
      </c>
      <c r="AJ15" s="24">
        <f>Assumptions!$B$60</f>
        <v>4000</v>
      </c>
      <c r="AK15" s="24">
        <f>Assumptions!$B$60</f>
        <v>4000</v>
      </c>
      <c r="AL15" s="24">
        <f>Assumptions!$B$60</f>
        <v>4000</v>
      </c>
    </row>
    <row r="16" spans="1:38" x14ac:dyDescent="0.2">
      <c r="A16" s="6" t="s">
        <v>66</v>
      </c>
      <c r="B16" s="6" t="s">
        <v>180</v>
      </c>
      <c r="C16" s="24">
        <f>MAX(5000, Revenue!C16*Assumptions!$B$61)</f>
        <v>5000</v>
      </c>
      <c r="D16" s="24">
        <f>MAX(5000, Revenue!D16*Assumptions!$B$61)</f>
        <v>5141.74215</v>
      </c>
      <c r="E16" s="24">
        <f>MAX(5000, Revenue!E16*Assumptions!$B$61)</f>
        <v>10401.5478</v>
      </c>
      <c r="F16" s="24">
        <f>MAX(5000, Revenue!F16*Assumptions!$B$61)</f>
        <v>17545.69155</v>
      </c>
      <c r="G16" s="24">
        <f>MAX(5000, Revenue!G16*Assumptions!$B$61)</f>
        <v>26662.472249999999</v>
      </c>
      <c r="H16" s="24">
        <f>MAX(5000, Revenue!H16*Assumptions!$B$61)</f>
        <v>37832.751074999993</v>
      </c>
      <c r="I16" s="24">
        <f>MAX(5000, Revenue!I16*Assumptions!$B$61)</f>
        <v>51160.620599999995</v>
      </c>
      <c r="J16" s="24">
        <f>MAX(5000, Revenue!J16*Assumptions!$B$61)</f>
        <v>66741.810375000001</v>
      </c>
      <c r="K16" s="24">
        <f>MAX(5000, Revenue!K16*Assumptions!$B$61)</f>
        <v>84674.832974999998</v>
      </c>
      <c r="L16" s="24">
        <f>MAX(5000, Revenue!L16*Assumptions!$B$61)</f>
        <v>105069.35399999999</v>
      </c>
      <c r="M16" s="24">
        <f>MAX(5000, Revenue!M16*Assumptions!$B$61)</f>
        <v>128034.10672499999</v>
      </c>
      <c r="N16" s="24">
        <f>MAX(5000, Revenue!N16*Assumptions!$B$61)</f>
        <v>153689.90977500001</v>
      </c>
      <c r="O16" s="24">
        <f>MAX(5000, Revenue!O16*Assumptions!$B$61)</f>
        <v>182142.70642499998</v>
      </c>
      <c r="P16" s="24">
        <f>MAX(5000, Revenue!P16*Assumptions!$B$61)</f>
        <v>213513.31529999999</v>
      </c>
      <c r="Q16" s="24">
        <f>MAX(5000, Revenue!Q16*Assumptions!$B$61)</f>
        <v>247911.402</v>
      </c>
      <c r="R16" s="24">
        <f>MAX(5000, Revenue!R16*Assumptions!$B$61)</f>
        <v>285452.20514999994</v>
      </c>
      <c r="S16" s="24">
        <f>MAX(5000, Revenue!S16*Assumptions!$B$61)</f>
        <v>326242.60034999996</v>
      </c>
      <c r="T16" s="24">
        <f>MAX(5000, Revenue!T16*Assumptions!$B$61)</f>
        <v>370398.75855000003</v>
      </c>
      <c r="U16" s="24">
        <f>MAX(5000, Revenue!U16*Assumptions!$B$61)</f>
        <v>418028.48767499998</v>
      </c>
      <c r="V16" s="24">
        <f>MAX(5000, Revenue!V16*Assumptions!$B$61)</f>
        <v>469230.3003</v>
      </c>
      <c r="W16" s="24">
        <f>MAX(5000, Revenue!W16*Assumptions!$B$61)</f>
        <v>524112.00435</v>
      </c>
      <c r="X16" s="24">
        <f>MAX(5000, Revenue!X16*Assumptions!$B$61)</f>
        <v>582773.97704999987</v>
      </c>
      <c r="Y16" s="24">
        <f>MAX(5000, Revenue!Y16*Assumptions!$B$61)</f>
        <v>645311.015625</v>
      </c>
      <c r="Z16" s="24">
        <f>MAX(5000, Revenue!Z16*Assumptions!$B$61)</f>
        <v>711818.84962499992</v>
      </c>
      <c r="AA16" s="24">
        <f>MAX(5000, Revenue!AA16*Assumptions!$B$61)</f>
        <v>782375.5502249999</v>
      </c>
      <c r="AB16" s="24">
        <f>MAX(5000, Revenue!AB16*Assumptions!$B$61)</f>
        <v>857073.13162499992</v>
      </c>
      <c r="AC16" s="24">
        <f>MAX(5000, Revenue!AC16*Assumptions!$B$61)</f>
        <v>935983.15964999993</v>
      </c>
      <c r="AD16" s="24">
        <f>MAX(5000, Revenue!AD16*Assumptions!$B$61)</f>
        <v>1019182.780125</v>
      </c>
      <c r="AE16" s="24">
        <f>MAX(5000, Revenue!AE16*Assumptions!$B$61)</f>
        <v>1106739.8435249999</v>
      </c>
      <c r="AF16" s="24">
        <f>MAX(5000, Revenue!AF16*Assumptions!$B$61)</f>
        <v>1198725.9226500001</v>
      </c>
      <c r="AG16" s="24">
        <f>MAX(5000, Revenue!AG16*Assumptions!$B$61)</f>
        <v>1295197.7149499999</v>
      </c>
      <c r="AH16" s="24">
        <f>MAX(5000, Revenue!AH16*Assumptions!$B$61)</f>
        <v>1396210.9925249999</v>
      </c>
      <c r="AI16" s="24">
        <f>MAX(5000, Revenue!AI16*Assumptions!$B$61)</f>
        <v>1501819.6697999998</v>
      </c>
      <c r="AJ16" s="24">
        <f>MAX(5000, Revenue!AJ16*Assumptions!$B$61)</f>
        <v>1612073.0135249998</v>
      </c>
      <c r="AK16" s="24">
        <f>MAX(5000, Revenue!AK16*Assumptions!$B$61)</f>
        <v>1727016.5751</v>
      </c>
      <c r="AL16" s="24">
        <f>MAX(5000, Revenue!AL16*Assumptions!$B$61)</f>
        <v>1846690.325925</v>
      </c>
    </row>
    <row r="17" spans="1:38" x14ac:dyDescent="0.2">
      <c r="A17" s="6" t="s">
        <v>207</v>
      </c>
      <c r="B17" s="6" t="s">
        <v>180</v>
      </c>
      <c r="C17" s="24">
        <f>Assumptions!$B$62</f>
        <v>0</v>
      </c>
      <c r="D17" s="24">
        <f>Assumptions!$B$62</f>
        <v>0</v>
      </c>
      <c r="E17" s="24">
        <f>Assumptions!$B$62</f>
        <v>0</v>
      </c>
      <c r="F17" s="24">
        <f>Assumptions!$B$62</f>
        <v>0</v>
      </c>
      <c r="G17" s="24">
        <f>Assumptions!$B$62</f>
        <v>0</v>
      </c>
      <c r="H17" s="24">
        <f>Assumptions!$B$62</f>
        <v>0</v>
      </c>
      <c r="I17" s="24">
        <f>Assumptions!$B$62</f>
        <v>0</v>
      </c>
      <c r="J17" s="24">
        <f>Assumptions!$B$62</f>
        <v>0</v>
      </c>
      <c r="K17" s="24">
        <f>Assumptions!$B$62</f>
        <v>0</v>
      </c>
      <c r="L17" s="24">
        <f>Assumptions!$B$62</f>
        <v>0</v>
      </c>
      <c r="M17" s="24">
        <f>Assumptions!$B$62</f>
        <v>0</v>
      </c>
      <c r="N17" s="24">
        <f>Assumptions!$B$62</f>
        <v>0</v>
      </c>
      <c r="O17" s="24">
        <f>Assumptions!$B$62</f>
        <v>0</v>
      </c>
      <c r="P17" s="24">
        <f>Assumptions!$B$62</f>
        <v>0</v>
      </c>
      <c r="Q17" s="24">
        <f>Assumptions!$B$62</f>
        <v>0</v>
      </c>
      <c r="R17" s="24">
        <f>Assumptions!$B$62</f>
        <v>0</v>
      </c>
      <c r="S17" s="24">
        <f>Assumptions!$B$62</f>
        <v>0</v>
      </c>
      <c r="T17" s="24">
        <f>Assumptions!$B$62</f>
        <v>0</v>
      </c>
      <c r="U17" s="24">
        <f>Assumptions!$B$62</f>
        <v>0</v>
      </c>
      <c r="V17" s="24">
        <f>Assumptions!$B$62</f>
        <v>0</v>
      </c>
      <c r="W17" s="24">
        <f>Assumptions!$B$62</f>
        <v>0</v>
      </c>
      <c r="X17" s="24">
        <f>Assumptions!$B$62</f>
        <v>0</v>
      </c>
      <c r="Y17" s="24">
        <f>Assumptions!$B$62</f>
        <v>0</v>
      </c>
      <c r="Z17" s="24">
        <f>Assumptions!$B$62</f>
        <v>0</v>
      </c>
      <c r="AA17" s="24">
        <f>Assumptions!$B$62</f>
        <v>0</v>
      </c>
      <c r="AB17" s="24">
        <f>Assumptions!$B$62</f>
        <v>0</v>
      </c>
      <c r="AC17" s="24">
        <f>Assumptions!$B$62</f>
        <v>0</v>
      </c>
      <c r="AD17" s="24">
        <f>Assumptions!$B$62</f>
        <v>0</v>
      </c>
      <c r="AE17" s="24">
        <f>Assumptions!$B$62</f>
        <v>0</v>
      </c>
      <c r="AF17" s="24">
        <f>Assumptions!$B$62</f>
        <v>0</v>
      </c>
      <c r="AG17" s="24">
        <f>Assumptions!$B$62</f>
        <v>0</v>
      </c>
      <c r="AH17" s="24">
        <f>Assumptions!$B$62</f>
        <v>0</v>
      </c>
      <c r="AI17" s="24">
        <f>Assumptions!$B$62</f>
        <v>0</v>
      </c>
      <c r="AJ17" s="24">
        <f>Assumptions!$B$62</f>
        <v>0</v>
      </c>
      <c r="AK17" s="24">
        <f>Assumptions!$B$62</f>
        <v>0</v>
      </c>
      <c r="AL17" s="24">
        <f>Assumptions!$B$62</f>
        <v>0</v>
      </c>
    </row>
    <row r="18" spans="1:38" x14ac:dyDescent="0.2">
      <c r="A18" s="17" t="s">
        <v>208</v>
      </c>
      <c r="B18" s="17" t="s">
        <v>180</v>
      </c>
      <c r="C18" s="25">
        <f t="shared" ref="C18:AL18" si="1">C11+C13+C14+C15+C16+C17</f>
        <v>136968.18</v>
      </c>
      <c r="D18" s="25">
        <f t="shared" si="1"/>
        <v>137624.78215000001</v>
      </c>
      <c r="E18" s="25">
        <f t="shared" si="1"/>
        <v>143449.6078</v>
      </c>
      <c r="F18" s="25">
        <f t="shared" si="1"/>
        <v>151212.23155</v>
      </c>
      <c r="G18" s="25">
        <f t="shared" si="1"/>
        <v>161004.19224999999</v>
      </c>
      <c r="H18" s="25">
        <f t="shared" si="1"/>
        <v>172909.591075</v>
      </c>
      <c r="I18" s="25">
        <f t="shared" si="1"/>
        <v>224535.58060000002</v>
      </c>
      <c r="J18" s="25">
        <f t="shared" si="1"/>
        <v>240980.80037499999</v>
      </c>
      <c r="K18" s="25">
        <f t="shared" si="1"/>
        <v>259846.522975</v>
      </c>
      <c r="L18" s="25">
        <f t="shared" si="1"/>
        <v>281245.054</v>
      </c>
      <c r="M18" s="25">
        <f t="shared" si="1"/>
        <v>305287.67672500003</v>
      </c>
      <c r="N18" s="25">
        <f t="shared" si="1"/>
        <v>332097.54977500002</v>
      </c>
      <c r="O18" s="25">
        <f t="shared" si="1"/>
        <v>361782.74642499996</v>
      </c>
      <c r="P18" s="25">
        <f t="shared" si="1"/>
        <v>394466.12529999996</v>
      </c>
      <c r="Q18" s="25">
        <f t="shared" si="1"/>
        <v>430259.18200000003</v>
      </c>
      <c r="R18" s="25">
        <f t="shared" si="1"/>
        <v>469278.80514999991</v>
      </c>
      <c r="S18" s="25">
        <f t="shared" si="1"/>
        <v>511633.37034999998</v>
      </c>
      <c r="T18" s="25">
        <f t="shared" si="1"/>
        <v>557440.42855000007</v>
      </c>
      <c r="U18" s="25">
        <f t="shared" si="1"/>
        <v>681808.92767499993</v>
      </c>
      <c r="V18" s="25">
        <f t="shared" si="1"/>
        <v>734838.34030000004</v>
      </c>
      <c r="W18" s="25">
        <f t="shared" si="1"/>
        <v>791637.37434999994</v>
      </c>
      <c r="X18" s="25">
        <f t="shared" si="1"/>
        <v>852307.09704999987</v>
      </c>
      <c r="Y18" s="25">
        <f t="shared" si="1"/>
        <v>916942.87562499999</v>
      </c>
      <c r="Z18" s="25">
        <f t="shared" si="1"/>
        <v>985640.88962499984</v>
      </c>
      <c r="AA18" s="25">
        <f t="shared" si="1"/>
        <v>1058479.5102249999</v>
      </c>
      <c r="AB18" s="25">
        <f t="shared" si="1"/>
        <v>1135551.0516249998</v>
      </c>
      <c r="AC18" s="25">
        <f t="shared" si="1"/>
        <v>1216927.07965</v>
      </c>
      <c r="AD18" s="25">
        <f t="shared" si="1"/>
        <v>1302684.770125</v>
      </c>
      <c r="AE18" s="25">
        <f t="shared" si="1"/>
        <v>1392891.8235249999</v>
      </c>
      <c r="AF18" s="25">
        <f t="shared" si="1"/>
        <v>1487619.6926500001</v>
      </c>
      <c r="AG18" s="25">
        <f t="shared" si="1"/>
        <v>1586924.8649499998</v>
      </c>
      <c r="AH18" s="25">
        <f t="shared" si="1"/>
        <v>1690862.7825249999</v>
      </c>
      <c r="AI18" s="25">
        <f t="shared" si="1"/>
        <v>1799486.9997999999</v>
      </c>
      <c r="AJ18" s="25">
        <f t="shared" si="1"/>
        <v>1912846.3935249997</v>
      </c>
      <c r="AK18" s="25">
        <f t="shared" si="1"/>
        <v>2030986.0951</v>
      </c>
      <c r="AL18" s="25">
        <f t="shared" si="1"/>
        <v>2153945.6259249998</v>
      </c>
    </row>
    <row r="19" spans="1:38" x14ac:dyDescent="0.2">
      <c r="A19" s="3" t="s">
        <v>209</v>
      </c>
      <c r="B19" s="4"/>
      <c r="C19" s="4"/>
      <c r="D19" s="4"/>
      <c r="E19" s="4"/>
    </row>
    <row r="20" spans="1:38" x14ac:dyDescent="0.2">
      <c r="A20" s="17" t="s">
        <v>210</v>
      </c>
      <c r="B20" s="17" t="s">
        <v>180</v>
      </c>
      <c r="C20" s="25">
        <f t="shared" ref="C20:AL20" si="2">C8+C18</f>
        <v>140598.53</v>
      </c>
      <c r="D20" s="25">
        <f t="shared" si="2"/>
        <v>146421.28215000001</v>
      </c>
      <c r="E20" s="25">
        <f t="shared" si="2"/>
        <v>158989.50779999999</v>
      </c>
      <c r="F20" s="25">
        <f t="shared" si="2"/>
        <v>175117.03154999999</v>
      </c>
      <c r="G20" s="25">
        <f t="shared" si="2"/>
        <v>194952.29225</v>
      </c>
      <c r="H20" s="25">
        <f t="shared" si="2"/>
        <v>218634.44107500001</v>
      </c>
      <c r="I20" s="25">
        <f t="shared" si="2"/>
        <v>283839.58059999999</v>
      </c>
      <c r="J20" s="25">
        <f t="shared" si="2"/>
        <v>315729.000375</v>
      </c>
      <c r="K20" s="25">
        <f t="shared" si="2"/>
        <v>351971.42297499999</v>
      </c>
      <c r="L20" s="25">
        <f t="shared" si="2"/>
        <v>392751.554</v>
      </c>
      <c r="M20" s="25">
        <f t="shared" si="2"/>
        <v>438254.47672500001</v>
      </c>
      <c r="N20" s="25">
        <f t="shared" si="2"/>
        <v>488679.79977500002</v>
      </c>
      <c r="O20" s="25">
        <f t="shared" si="2"/>
        <v>544207.29642499995</v>
      </c>
      <c r="P20" s="25">
        <f t="shared" si="2"/>
        <v>605034.77529999998</v>
      </c>
      <c r="Q20" s="25">
        <f t="shared" si="2"/>
        <v>671342.08200000005</v>
      </c>
      <c r="R20" s="25">
        <f t="shared" si="2"/>
        <v>743319.10514999996</v>
      </c>
      <c r="S20" s="25">
        <f t="shared" si="2"/>
        <v>821140.92035000003</v>
      </c>
      <c r="T20" s="25">
        <f t="shared" si="2"/>
        <v>904994.87855000002</v>
      </c>
      <c r="U20" s="25">
        <f t="shared" si="2"/>
        <v>1070052.977675</v>
      </c>
      <c r="V20" s="25">
        <f t="shared" si="2"/>
        <v>1166473.1403000001</v>
      </c>
      <c r="W20" s="25">
        <f t="shared" si="2"/>
        <v>1269425.92435</v>
      </c>
      <c r="X20" s="25">
        <f t="shared" si="2"/>
        <v>1379065.7970499997</v>
      </c>
      <c r="Y20" s="25">
        <f t="shared" si="2"/>
        <v>1495540.9256250001</v>
      </c>
      <c r="Z20" s="25">
        <f t="shared" si="2"/>
        <v>1618997.8396249998</v>
      </c>
      <c r="AA20" s="25">
        <f t="shared" si="2"/>
        <v>1749555.2602249999</v>
      </c>
      <c r="AB20" s="25">
        <f t="shared" si="2"/>
        <v>1887351.4016249999</v>
      </c>
      <c r="AC20" s="25">
        <f t="shared" si="2"/>
        <v>2032492.9796500001</v>
      </c>
      <c r="AD20" s="25">
        <f t="shared" si="2"/>
        <v>2185092.470125</v>
      </c>
      <c r="AE20" s="25">
        <f t="shared" si="2"/>
        <v>2345248.2735249996</v>
      </c>
      <c r="AF20" s="25">
        <f t="shared" si="2"/>
        <v>2513060.84265</v>
      </c>
      <c r="AG20" s="25">
        <f t="shared" si="2"/>
        <v>2688611.5149499997</v>
      </c>
      <c r="AH20" s="25">
        <f t="shared" si="2"/>
        <v>2871976.2825250002</v>
      </c>
      <c r="AI20" s="25">
        <f t="shared" si="2"/>
        <v>3063227.2497999999</v>
      </c>
      <c r="AJ20" s="25">
        <f t="shared" si="2"/>
        <v>3262429.8435249999</v>
      </c>
      <c r="AK20" s="25">
        <f t="shared" si="2"/>
        <v>3469641.8951000003</v>
      </c>
      <c r="AL20" s="25">
        <f t="shared" si="2"/>
        <v>3684915.4759249999</v>
      </c>
    </row>
    <row r="21" spans="1:38" x14ac:dyDescent="0.2">
      <c r="A21" s="6" t="s">
        <v>211</v>
      </c>
      <c r="B21" s="6" t="s">
        <v>180</v>
      </c>
      <c r="C21" s="26">
        <f>Revenue!C16-C8</f>
        <v>3155.8879000000002</v>
      </c>
      <c r="D21" s="26">
        <f>Revenue!D16-D8</f>
        <v>11770.4686</v>
      </c>
      <c r="E21" s="26">
        <f>Revenue!E16-E8</f>
        <v>26066.2912</v>
      </c>
      <c r="F21" s="26">
        <f>Revenue!F16-F8</f>
        <v>46277.966199999995</v>
      </c>
      <c r="G21" s="26">
        <f>Revenue!G16-G8</f>
        <v>72701.78899999999</v>
      </c>
      <c r="H21" s="26">
        <f>Revenue!H16-H8</f>
        <v>105606.15429999997</v>
      </c>
      <c r="I21" s="26">
        <f>Revenue!I16-I8</f>
        <v>145338.48239999998</v>
      </c>
      <c r="J21" s="26">
        <f>Revenue!J16-J8</f>
        <v>192219.04149999999</v>
      </c>
      <c r="K21" s="26">
        <f>Revenue!K16-K8</f>
        <v>246574.4319</v>
      </c>
      <c r="L21" s="26">
        <f>Revenue!L16-L8</f>
        <v>308770.91599999997</v>
      </c>
      <c r="M21" s="26">
        <f>Revenue!M16-M8</f>
        <v>379169.62689999997</v>
      </c>
      <c r="N21" s="26">
        <f>Revenue!N16-N8</f>
        <v>458177.38910000003</v>
      </c>
      <c r="O21" s="26">
        <f>Revenue!O16-O8</f>
        <v>546146.27569999988</v>
      </c>
      <c r="P21" s="26">
        <f>Revenue!P16-P8</f>
        <v>643484.61119999993</v>
      </c>
      <c r="Q21" s="26">
        <f>Revenue!Q16-Q8</f>
        <v>750562.70799999998</v>
      </c>
      <c r="R21" s="26">
        <f>Revenue!R16-R8</f>
        <v>867768.5205999997</v>
      </c>
      <c r="S21" s="26">
        <f>Revenue!S16-S8</f>
        <v>995462.85139999981</v>
      </c>
      <c r="T21" s="26">
        <f>Revenue!T16-T8</f>
        <v>1134040.5842000002</v>
      </c>
      <c r="U21" s="26">
        <f>Revenue!U16-U8</f>
        <v>1283869.9006999999</v>
      </c>
      <c r="V21" s="26">
        <f>Revenue!V16-V8</f>
        <v>1445286.4012</v>
      </c>
      <c r="W21" s="26">
        <f>Revenue!W16-W8</f>
        <v>1618659.4674</v>
      </c>
      <c r="X21" s="26">
        <f>Revenue!X16-X8</f>
        <v>1804337.2081999995</v>
      </c>
      <c r="Y21" s="26">
        <f>Revenue!Y16-Y8</f>
        <v>2002646.0125</v>
      </c>
      <c r="Z21" s="26">
        <f>Revenue!Z16-Z8</f>
        <v>2213918.4484999999</v>
      </c>
      <c r="AA21" s="26">
        <f>Revenue!AA16-AA8</f>
        <v>2438426.4508999996</v>
      </c>
      <c r="AB21" s="26">
        <f>Revenue!AB16-AB8</f>
        <v>2676492.1764999996</v>
      </c>
      <c r="AC21" s="26">
        <f>Revenue!AC16-AC8</f>
        <v>2928366.7385999998</v>
      </c>
      <c r="AD21" s="26">
        <f>Revenue!AD16-AD8</f>
        <v>3194323.4205</v>
      </c>
      <c r="AE21" s="26">
        <f>Revenue!AE16-AE8</f>
        <v>3474602.9240999995</v>
      </c>
      <c r="AF21" s="26">
        <f>Revenue!AF16-AF8</f>
        <v>3769462.5406000004</v>
      </c>
      <c r="AG21" s="26">
        <f>Revenue!AG16-AG8</f>
        <v>4079104.2097999998</v>
      </c>
      <c r="AH21" s="26">
        <f>Revenue!AH16-AH8</f>
        <v>4403730.4700999996</v>
      </c>
      <c r="AI21" s="26">
        <f>Revenue!AI16-AI8</f>
        <v>4743538.4291999992</v>
      </c>
      <c r="AJ21" s="26">
        <f>Revenue!AJ16-AJ8</f>
        <v>5098708.6040999992</v>
      </c>
      <c r="AK21" s="26">
        <f>Revenue!AK16-AK8</f>
        <v>5469410.5004000003</v>
      </c>
      <c r="AL21" s="26">
        <f>Revenue!AL16-AL8</f>
        <v>5855791.4537000004</v>
      </c>
    </row>
    <row r="22" spans="1:38" x14ac:dyDescent="0.2">
      <c r="A22" s="6" t="s">
        <v>212</v>
      </c>
      <c r="B22" s="6" t="s">
        <v>175</v>
      </c>
      <c r="C22" s="30">
        <f>IF(Revenue!C16=0,0,C21/Revenue!C16)</f>
        <v>0.46504233221767838</v>
      </c>
      <c r="D22" s="30">
        <f>IF(Revenue!D16=0,0,D21/Revenue!D16)</f>
        <v>0.57229963388965355</v>
      </c>
      <c r="E22" s="30">
        <f>IF(Revenue!E16=0,0,E21/Revenue!E16)</f>
        <v>0.62650029834982823</v>
      </c>
      <c r="F22" s="30">
        <f>IF(Revenue!F16=0,0,F21/Revenue!F16)</f>
        <v>0.65939216570805381</v>
      </c>
      <c r="G22" s="30">
        <f>IF(Revenue!G16=0,0,G21/Revenue!G16)</f>
        <v>0.68168649476981635</v>
      </c>
      <c r="H22" s="30">
        <f>IF(Revenue!H16=0,0,H21/Revenue!H16)</f>
        <v>0.69784876396277229</v>
      </c>
      <c r="I22" s="30">
        <f>IF(Revenue!I16=0,0,I21/Revenue!I16)</f>
        <v>0.71020679917240881</v>
      </c>
      <c r="J22" s="30">
        <f>IF(Revenue!J16=0,0,J21/Revenue!J16)</f>
        <v>0.72000984248099209</v>
      </c>
      <c r="K22" s="30">
        <f>IF(Revenue!K16=0,0,K21/Revenue!K16)</f>
        <v>0.72800389217419648</v>
      </c>
      <c r="L22" s="30">
        <f>IF(Revenue!L16=0,0,L21/Revenue!L16)</f>
        <v>0.73468357861988942</v>
      </c>
      <c r="M22" s="30">
        <f>IF(Revenue!M16=0,0,M21/Revenue!M16)</f>
        <v>0.7403683998717725</v>
      </c>
      <c r="N22" s="30">
        <f>IF(Revenue!N16=0,0,N21/Revenue!N16)</f>
        <v>0.74529516897167425</v>
      </c>
      <c r="O22" s="30">
        <f>IF(Revenue!O16=0,0,O21/Revenue!O16)</f>
        <v>0.74961315555734853</v>
      </c>
      <c r="P22" s="30">
        <f>IF(Revenue!P16=0,0,P21/Revenue!P16)</f>
        <v>0.75344787079890374</v>
      </c>
      <c r="Q22" s="30">
        <f>IF(Revenue!Q16=0,0,Q21/Revenue!Q16)</f>
        <v>0.75688603059894755</v>
      </c>
      <c r="R22" s="30">
        <f>IF(Revenue!R16=0,0,R21/Revenue!R16)</f>
        <v>0.75999458485878846</v>
      </c>
      <c r="S22" s="30">
        <f>IF(Revenue!S16=0,0,S21/Revenue!S16)</f>
        <v>0.7628240842336701</v>
      </c>
      <c r="T22" s="30">
        <f>IF(Revenue!T16=0,0,T21/Revenue!T16)</f>
        <v>0.76541872645539411</v>
      </c>
      <c r="U22" s="30">
        <f>IF(Revenue!U16=0,0,U21/Revenue!U16)</f>
        <v>0.76781244493686041</v>
      </c>
      <c r="V22" s="30">
        <f>IF(Revenue!V16=0,0,V21/Revenue!V16)</f>
        <v>0.77003040952170154</v>
      </c>
      <c r="W22" s="30">
        <f>IF(Revenue!W16=0,0,W21/Revenue!W16)</f>
        <v>0.77209616168181927</v>
      </c>
      <c r="X22" s="30">
        <f>IF(Revenue!X16=0,0,X21/Revenue!X16)</f>
        <v>0.7740295891957758</v>
      </c>
      <c r="Y22" s="30">
        <f>IF(Revenue!Y16=0,0,Y21/Revenue!Y16)</f>
        <v>0.77584527615741483</v>
      </c>
      <c r="Z22" s="30">
        <f>IF(Revenue!Z16=0,0,Z21/Revenue!Z16)</f>
        <v>0.77755683544568099</v>
      </c>
      <c r="AA22" s="30">
        <f>IF(Revenue!AA16=0,0,AA21/Revenue!AA16)</f>
        <v>0.77917390510182205</v>
      </c>
      <c r="AB22" s="30">
        <f>IF(Revenue!AB16=0,0,AB21/Revenue!AB16)</f>
        <v>0.78070705921716499</v>
      </c>
      <c r="AC22" s="30">
        <f>IF(Revenue!AC16=0,0,AC21/Revenue!AC16)</f>
        <v>0.78216330828404768</v>
      </c>
      <c r="AD22" s="30">
        <f>IF(Revenue!AD16=0,0,AD21/Revenue!AD16)</f>
        <v>0.78355018422412537</v>
      </c>
      <c r="AE22" s="30">
        <f>IF(Revenue!AE16=0,0,AE21/Revenue!AE16)</f>
        <v>0.78487346064845831</v>
      </c>
      <c r="AF22" s="30">
        <f>IF(Revenue!AF16=0,0,AF21/Revenue!AF16)</f>
        <v>0.78613936459030664</v>
      </c>
      <c r="AG22" s="30">
        <f>IF(Revenue!AG16=0,0,AG21/Revenue!AG16)</f>
        <v>0.78735164575963412</v>
      </c>
      <c r="AH22" s="30">
        <f>IF(Revenue!AH16=0,0,AH21/Revenue!AH16)</f>
        <v>0.7885145034805956</v>
      </c>
      <c r="AI22" s="30">
        <f>IF(Revenue!AI16=0,0,AI21/Revenue!AI16)</f>
        <v>0.78963182540945565</v>
      </c>
      <c r="AJ22" s="30">
        <f>IF(Revenue!AJ16=0,0,AJ21/Revenue!AJ16)</f>
        <v>0.79070683544150289</v>
      </c>
      <c r="AK22" s="30">
        <f>IF(Revenue!AK16=0,0,AK21/Revenue!AK16)</f>
        <v>0.79174261834795989</v>
      </c>
      <c r="AL22" s="30">
        <f>IF(Revenue!AL16=0,0,AL21/Revenue!AL16)</f>
        <v>0.79274139408929556</v>
      </c>
    </row>
    <row r="23" spans="1:38" x14ac:dyDescent="0.2">
      <c r="A23" s="17" t="s">
        <v>213</v>
      </c>
      <c r="B23" s="17" t="s">
        <v>180</v>
      </c>
      <c r="C23" s="27">
        <f>Revenue!C16-C20</f>
        <v>-133812.29209999999</v>
      </c>
      <c r="D23" s="27">
        <f>Revenue!D16-D20</f>
        <v>-125854.31355000002</v>
      </c>
      <c r="E23" s="27">
        <f>Revenue!E16-E20</f>
        <v>-117383.31659999999</v>
      </c>
      <c r="F23" s="27">
        <f>Revenue!F16-F20</f>
        <v>-104934.26534999999</v>
      </c>
      <c r="G23" s="27">
        <f>Revenue!G16-G20</f>
        <v>-88302.403250000003</v>
      </c>
      <c r="H23" s="27">
        <f>Revenue!H16-H20</f>
        <v>-67303.436775000038</v>
      </c>
      <c r="I23" s="27">
        <f>Revenue!I16-I20</f>
        <v>-79197.098200000008</v>
      </c>
      <c r="J23" s="27">
        <f>Revenue!J16-J20</f>
        <v>-48761.758875</v>
      </c>
      <c r="K23" s="27">
        <f>Revenue!K16-K20</f>
        <v>-13272.091075000004</v>
      </c>
      <c r="L23" s="27">
        <f>Revenue!L16-L20</f>
        <v>27525.861999999965</v>
      </c>
      <c r="M23" s="27">
        <f>Revenue!M16-M20</f>
        <v>73881.950174999947</v>
      </c>
      <c r="N23" s="27">
        <f>Revenue!N16-N20</f>
        <v>126079.83932500001</v>
      </c>
      <c r="O23" s="27">
        <f>Revenue!O16-O20</f>
        <v>184363.52927499998</v>
      </c>
      <c r="P23" s="27">
        <f>Revenue!P16-P20</f>
        <v>249018.48589999997</v>
      </c>
      <c r="Q23" s="27">
        <f>Revenue!Q16-Q20</f>
        <v>320303.52599999995</v>
      </c>
      <c r="R23" s="27">
        <f>Revenue!R16-R20</f>
        <v>398489.71544999979</v>
      </c>
      <c r="S23" s="27">
        <f>Revenue!S16-S20</f>
        <v>483829.48104999983</v>
      </c>
      <c r="T23" s="27">
        <f>Revenue!T16-T20</f>
        <v>576600.15565000009</v>
      </c>
      <c r="U23" s="27">
        <f>Revenue!U16-U20</f>
        <v>602060.97302499996</v>
      </c>
      <c r="V23" s="27">
        <f>Revenue!V16-V20</f>
        <v>710448.06089999992</v>
      </c>
      <c r="W23" s="27">
        <f>Revenue!W16-W20</f>
        <v>827022.09305000002</v>
      </c>
      <c r="X23" s="27">
        <f>Revenue!X16-X20</f>
        <v>952030.11114999978</v>
      </c>
      <c r="Y23" s="27">
        <f>Revenue!Y16-Y20</f>
        <v>1085703.1368749999</v>
      </c>
      <c r="Z23" s="27">
        <f>Revenue!Z16-Z20</f>
        <v>1228277.5588749999</v>
      </c>
      <c r="AA23" s="27">
        <f>Revenue!AA16-AA20</f>
        <v>1379946.9406749997</v>
      </c>
      <c r="AB23" s="27">
        <f>Revenue!AB16-AB20</f>
        <v>1540941.1248749997</v>
      </c>
      <c r="AC23" s="27">
        <f>Revenue!AC16-AC20</f>
        <v>1711439.6589499996</v>
      </c>
      <c r="AD23" s="27">
        <f>Revenue!AD16-AD20</f>
        <v>1891638.6503750002</v>
      </c>
      <c r="AE23" s="27">
        <f>Revenue!AE16-AE20</f>
        <v>2081711.100575</v>
      </c>
      <c r="AF23" s="27">
        <f>Revenue!AF16-AF20</f>
        <v>2281842.8479500003</v>
      </c>
      <c r="AG23" s="27">
        <f>Revenue!AG16-AG20</f>
        <v>2492179.34485</v>
      </c>
      <c r="AH23" s="27">
        <f>Revenue!AH16-AH20</f>
        <v>2712867.6875749994</v>
      </c>
      <c r="AI23" s="27">
        <f>Revenue!AI16-AI20</f>
        <v>2944051.4293999993</v>
      </c>
      <c r="AJ23" s="27">
        <f>Revenue!AJ16-AJ20</f>
        <v>3185862.2105749995</v>
      </c>
      <c r="AK23" s="27">
        <f>Revenue!AK16-AK20</f>
        <v>3438424.4052999998</v>
      </c>
      <c r="AL23" s="27">
        <f>Revenue!AL16-AL20</f>
        <v>3701845.8277750001</v>
      </c>
    </row>
    <row r="24" spans="1:38" x14ac:dyDescent="0.2">
      <c r="A24" s="6" t="s">
        <v>214</v>
      </c>
      <c r="B24" s="6" t="s">
        <v>175</v>
      </c>
      <c r="C24" s="30">
        <f>IF(Revenue!C16=0,0,C23/Revenue!C16)</f>
        <v>-19.718184666057756</v>
      </c>
      <c r="D24" s="30">
        <f>IF(Revenue!D16=0,0,D23/Revenue!D16)</f>
        <v>-6.1192446975389467</v>
      </c>
      <c r="E24" s="30">
        <f>IF(Revenue!E16=0,0,E23/Revenue!E16)</f>
        <v>-2.821294456773058</v>
      </c>
      <c r="F24" s="30">
        <f>IF(Revenue!F16=0,0,F23/Revenue!F16)</f>
        <v>-1.4951571593939252</v>
      </c>
      <c r="G24" s="30">
        <f>IF(Revenue!G16=0,0,G23/Revenue!G16)</f>
        <v>-0.82796526164223205</v>
      </c>
      <c r="H24" s="30">
        <f>IF(Revenue!H16=0,0,H23/Revenue!H16)</f>
        <v>-0.44474321099182745</v>
      </c>
      <c r="I24" s="30">
        <f>IF(Revenue!I16=0,0,I23/Revenue!I16)</f>
        <v>-0.38700223566091774</v>
      </c>
      <c r="J24" s="30">
        <f>IF(Revenue!J16=0,0,J23/Revenue!J16)</f>
        <v>-0.18265071999479757</v>
      </c>
      <c r="K24" s="30">
        <f>IF(Revenue!K16=0,0,K23/Revenue!K16)</f>
        <v>-3.9185465765602841E-2</v>
      </c>
      <c r="L24" s="30">
        <f>IF(Revenue!L16=0,0,L23/Revenue!L16)</f>
        <v>6.5494506609415262E-2</v>
      </c>
      <c r="M24" s="30">
        <f>IF(Revenue!M16=0,0,M23/Revenue!M16)</f>
        <v>0.14426224399270504</v>
      </c>
      <c r="N24" s="30">
        <f>IF(Revenue!N16=0,0,N23/Revenue!N16)</f>
        <v>0.20508802352343627</v>
      </c>
      <c r="O24" s="30">
        <f>IF(Revenue!O16=0,0,O23/Revenue!O16)</f>
        <v>0.2530481907477784</v>
      </c>
      <c r="P24" s="30">
        <f>IF(Revenue!P16=0,0,P23/Revenue!P16)</f>
        <v>0.29157254847328012</v>
      </c>
      <c r="Q24" s="30">
        <f>IF(Revenue!Q16=0,0,Q23/Revenue!Q16)</f>
        <v>0.32300201142019269</v>
      </c>
      <c r="R24" s="30">
        <f>IF(Revenue!R16=0,0,R23/Revenue!R16)</f>
        <v>0.34899863117242402</v>
      </c>
      <c r="S24" s="30">
        <f>IF(Revenue!S16=0,0,S23/Revenue!S16)</f>
        <v>0.37075896934592334</v>
      </c>
      <c r="T24" s="30">
        <f>IF(Revenue!T16=0,0,T23/Revenue!T16)</f>
        <v>0.38917527552415176</v>
      </c>
      <c r="U24" s="30">
        <f>IF(Revenue!U16=0,0,U23/Revenue!U16)</f>
        <v>0.36005977509664228</v>
      </c>
      <c r="V24" s="30">
        <f>IF(Revenue!V16=0,0,V23/Revenue!V16)</f>
        <v>0.37851778777168621</v>
      </c>
      <c r="W24" s="30">
        <f>IF(Revenue!W16=0,0,W23/Revenue!W16)</f>
        <v>0.39448728811109135</v>
      </c>
      <c r="X24" s="30">
        <f>IF(Revenue!X16=0,0,X23/Revenue!X16)</f>
        <v>0.40840452243988884</v>
      </c>
      <c r="Y24" s="30">
        <f>IF(Revenue!Y16=0,0,Y23/Revenue!Y16)</f>
        <v>0.42061235225601601</v>
      </c>
      <c r="Z24" s="30">
        <f>IF(Revenue!Z16=0,0,Z23/Revenue!Z16)</f>
        <v>0.43138698824921556</v>
      </c>
      <c r="AA24" s="30">
        <f>IF(Revenue!AA16=0,0,AA23/Revenue!AA16)</f>
        <v>0.44094774570797457</v>
      </c>
      <c r="AB24" s="30">
        <f>IF(Revenue!AB16=0,0,AB23/Revenue!AB16)</f>
        <v>0.44947772483352577</v>
      </c>
      <c r="AC24" s="30">
        <f>IF(Revenue!AC16=0,0,AC23/Revenue!AC16)</f>
        <v>0.45712351801018852</v>
      </c>
      <c r="AD24" s="30">
        <f>IF(Revenue!AD16=0,0,AD23/Revenue!AD16)</f>
        <v>0.46400868599423251</v>
      </c>
      <c r="AE24" s="30">
        <f>IF(Revenue!AE16=0,0,AE23/Revenue!AE16)</f>
        <v>0.47023496821635319</v>
      </c>
      <c r="AF24" s="30">
        <f>IF(Revenue!AF16=0,0,AF23/Revenue!AF16)</f>
        <v>0.47588919302453531</v>
      </c>
      <c r="AG24" s="30">
        <f>IF(Revenue!AG16=0,0,AG23/Revenue!AG16)</f>
        <v>0.48104226020546381</v>
      </c>
      <c r="AH24" s="30">
        <f>IF(Revenue!AH16=0,0,AH23/Revenue!AH16)</f>
        <v>0.48575532317448505</v>
      </c>
      <c r="AI24" s="30">
        <f>IF(Revenue!AI16=0,0,AI23/Revenue!AI16)</f>
        <v>0.49008071484908444</v>
      </c>
      <c r="AJ24" s="30">
        <f>IF(Revenue!AJ16=0,0,AJ23/Revenue!AJ16)</f>
        <v>0.49406295246030951</v>
      </c>
      <c r="AK24" s="30">
        <f>IF(Revenue!AK16=0,0,AK23/Revenue!AK16)</f>
        <v>0.49774050447386464</v>
      </c>
      <c r="AL24" s="30">
        <f>IF(Revenue!AL16=0,0,AL23/Revenue!AL16)</f>
        <v>0.50114599288875894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3B82F6"/>
  </sheetPr>
  <dimension ref="A1:E72"/>
  <sheetViews>
    <sheetView workbookViewId="0"/>
  </sheetViews>
  <sheetFormatPr baseColWidth="10" defaultColWidth="8.83203125" defaultRowHeight="15" x14ac:dyDescent="0.2"/>
  <cols>
    <col min="1" max="1" width="35" customWidth="1"/>
    <col min="2" max="4" width="18" customWidth="1"/>
  </cols>
  <sheetData>
    <row r="1" spans="1:5" ht="18" x14ac:dyDescent="0.2">
      <c r="A1" s="1" t="s">
        <v>215</v>
      </c>
    </row>
    <row r="2" spans="1:5" x14ac:dyDescent="0.2">
      <c r="A2" s="2" t="s">
        <v>216</v>
      </c>
    </row>
    <row r="4" spans="1:5" x14ac:dyDescent="0.2">
      <c r="A4" s="3" t="s">
        <v>217</v>
      </c>
      <c r="B4" s="4"/>
      <c r="C4" s="4"/>
      <c r="D4" s="4"/>
      <c r="E4" s="4"/>
    </row>
    <row r="5" spans="1:5" x14ac:dyDescent="0.2">
      <c r="A5" s="6" t="s">
        <v>218</v>
      </c>
      <c r="B5" s="29">
        <f>Assumptions!B36</f>
        <v>10.85</v>
      </c>
    </row>
    <row r="6" spans="1:5" x14ac:dyDescent="0.2">
      <c r="A6" s="6" t="s">
        <v>219</v>
      </c>
      <c r="B6" s="31">
        <f>Assumptions!B36/(Assumptions!B28-Assumptions!B32)</f>
        <v>1.9979008230983115</v>
      </c>
      <c r="C6" s="16" t="s">
        <v>220</v>
      </c>
    </row>
    <row r="7" spans="1:5" x14ac:dyDescent="0.2">
      <c r="A7" s="6" t="s">
        <v>221</v>
      </c>
      <c r="B7" s="31">
        <f>Assumptions!B36/(Assumptions!B29-Assumptions!B32)</f>
        <v>0.65398084469009754</v>
      </c>
    </row>
    <row r="9" spans="1:5" x14ac:dyDescent="0.2">
      <c r="A9" s="3" t="s">
        <v>222</v>
      </c>
      <c r="B9" s="4"/>
      <c r="C9" s="4"/>
      <c r="D9" s="4"/>
      <c r="E9" s="4"/>
    </row>
    <row r="10" spans="1:5" x14ac:dyDescent="0.2">
      <c r="A10" s="6" t="s">
        <v>223</v>
      </c>
      <c r="B10" s="31">
        <f>1/Assumptions!B22</f>
        <v>20</v>
      </c>
      <c r="C10" s="16" t="s">
        <v>224</v>
      </c>
    </row>
    <row r="11" spans="1:5" x14ac:dyDescent="0.2">
      <c r="A11" s="6" t="s">
        <v>225</v>
      </c>
      <c r="B11" s="31">
        <f>1/Assumptions!B23</f>
        <v>33.333333333333336</v>
      </c>
    </row>
    <row r="12" spans="1:5" x14ac:dyDescent="0.2">
      <c r="A12" s="6" t="s">
        <v>226</v>
      </c>
      <c r="B12" s="28">
        <f>(Assumptions!B28-Assumptions!B32)*B10</f>
        <v>108.614</v>
      </c>
      <c r="C12" s="16" t="s">
        <v>227</v>
      </c>
    </row>
    <row r="13" spans="1:5" x14ac:dyDescent="0.2">
      <c r="A13" s="6" t="s">
        <v>228</v>
      </c>
      <c r="B13" s="28">
        <f>(Assumptions!B29-Assumptions!B32)*B11</f>
        <v>553.02333333333331</v>
      </c>
    </row>
    <row r="14" spans="1:5" x14ac:dyDescent="0.2">
      <c r="A14" s="17" t="s">
        <v>229</v>
      </c>
      <c r="B14" s="32">
        <f>B12/Assumptions!B36</f>
        <v>10.010506912442397</v>
      </c>
      <c r="C14" s="16" t="s">
        <v>230</v>
      </c>
    </row>
    <row r="15" spans="1:5" x14ac:dyDescent="0.2">
      <c r="A15" s="17" t="s">
        <v>231</v>
      </c>
      <c r="B15" s="32">
        <f>B13/Assumptions!B36</f>
        <v>50.969892473118279</v>
      </c>
    </row>
    <row r="17" spans="1:5" x14ac:dyDescent="0.2">
      <c r="A17" s="3" t="s">
        <v>232</v>
      </c>
      <c r="B17" s="4"/>
      <c r="C17" s="4"/>
      <c r="D17" s="4"/>
      <c r="E17" s="4"/>
    </row>
    <row r="18" spans="1:5" x14ac:dyDescent="0.2">
      <c r="A18" s="6" t="s">
        <v>233</v>
      </c>
      <c r="B18" s="29">
        <f>Assumptions!B28</f>
        <v>7.4306999999999999</v>
      </c>
    </row>
    <row r="19" spans="1:5" x14ac:dyDescent="0.2">
      <c r="A19" s="6" t="s">
        <v>234</v>
      </c>
      <c r="B19" s="29">
        <f>Assumptions!B32</f>
        <v>2</v>
      </c>
    </row>
    <row r="20" spans="1:5" x14ac:dyDescent="0.2">
      <c r="A20" s="17" t="s">
        <v>235</v>
      </c>
      <c r="B20" s="10">
        <f>B18-B19</f>
        <v>5.4306999999999999</v>
      </c>
    </row>
    <row r="21" spans="1:5" x14ac:dyDescent="0.2">
      <c r="A21" s="6" t="s">
        <v>236</v>
      </c>
      <c r="B21" s="23">
        <f>B20/B18</f>
        <v>0.73084635364097594</v>
      </c>
    </row>
    <row r="23" spans="1:5" x14ac:dyDescent="0.2">
      <c r="A23" s="6" t="s">
        <v>237</v>
      </c>
      <c r="B23" s="29">
        <f>Assumptions!B29</f>
        <v>18.590699999999998</v>
      </c>
    </row>
    <row r="24" spans="1:5" x14ac:dyDescent="0.2">
      <c r="A24" s="6" t="s">
        <v>238</v>
      </c>
      <c r="B24" s="29">
        <f>Assumptions!B32</f>
        <v>2</v>
      </c>
    </row>
    <row r="25" spans="1:5" x14ac:dyDescent="0.2">
      <c r="A25" s="17" t="s">
        <v>239</v>
      </c>
      <c r="B25" s="10">
        <f>B23-B24</f>
        <v>16.590699999999998</v>
      </c>
    </row>
    <row r="26" spans="1:5" x14ac:dyDescent="0.2">
      <c r="A26" s="6" t="s">
        <v>240</v>
      </c>
      <c r="B26" s="23">
        <f>B25/B23</f>
        <v>0.89241932794354162</v>
      </c>
    </row>
    <row r="28" spans="1:5" x14ac:dyDescent="0.2">
      <c r="A28" s="3" t="s">
        <v>241</v>
      </c>
      <c r="B28" s="33" t="s">
        <v>125</v>
      </c>
      <c r="C28" s="34" t="s">
        <v>137</v>
      </c>
      <c r="D28" s="34" t="s">
        <v>149</v>
      </c>
      <c r="E28" s="4"/>
    </row>
    <row r="29" spans="1:5" x14ac:dyDescent="0.2">
      <c r="A29" s="6" t="s">
        <v>172</v>
      </c>
      <c r="B29" s="21">
        <f>'User Growth'!N28</f>
        <v>313588</v>
      </c>
      <c r="C29" s="21">
        <f>'User Growth'!Z28</f>
        <v>994068</v>
      </c>
      <c r="D29" s="21">
        <f>'User Growth'!AL28</f>
        <v>2108510</v>
      </c>
    </row>
    <row r="30" spans="1:5" x14ac:dyDescent="0.2">
      <c r="A30" s="6" t="s">
        <v>242</v>
      </c>
      <c r="B30" s="21">
        <f>'User Growth'!N29</f>
        <v>59213</v>
      </c>
      <c r="C30" s="21">
        <f>'User Growth'!Z29</f>
        <v>261755</v>
      </c>
      <c r="D30" s="21">
        <f>'User Growth'!AL29</f>
        <v>656591</v>
      </c>
    </row>
    <row r="31" spans="1:5" x14ac:dyDescent="0.2">
      <c r="A31" s="6" t="s">
        <v>174</v>
      </c>
      <c r="B31" s="30">
        <f>'User Growth'!N30</f>
        <v>0.18882418970113651</v>
      </c>
      <c r="C31" s="30">
        <f>'User Growth'!Z30</f>
        <v>0.26331699642277995</v>
      </c>
      <c r="D31" s="30">
        <f>'User Growth'!AL30</f>
        <v>0.31140046762879947</v>
      </c>
    </row>
    <row r="32" spans="1:5" x14ac:dyDescent="0.2">
      <c r="A32" s="17" t="s">
        <v>243</v>
      </c>
      <c r="B32" s="24">
        <f>Revenue!N8</f>
        <v>614759.63910000003</v>
      </c>
      <c r="C32" s="24">
        <f>Revenue!Z8</f>
        <v>2847275.3984999997</v>
      </c>
      <c r="D32" s="24">
        <f>Revenue!AL8</f>
        <v>7386761.3037</v>
      </c>
    </row>
    <row r="33" spans="1:5" x14ac:dyDescent="0.2">
      <c r="A33" s="17" t="s">
        <v>244</v>
      </c>
      <c r="B33" s="24">
        <f>Revenue!N9</f>
        <v>7377115.6692000004</v>
      </c>
      <c r="C33" s="24">
        <f>Revenue!Z9</f>
        <v>34167304.781999998</v>
      </c>
      <c r="D33" s="24">
        <f>Revenue!AL9</f>
        <v>88641135.644400001</v>
      </c>
    </row>
    <row r="34" spans="1:5" x14ac:dyDescent="0.2">
      <c r="A34" s="6" t="s">
        <v>212</v>
      </c>
      <c r="B34" s="30">
        <f>Costs!N22</f>
        <v>0.74529516897167425</v>
      </c>
      <c r="C34" s="30">
        <f>Costs!Z22</f>
        <v>0.77755683544568099</v>
      </c>
      <c r="D34" s="30">
        <f>Costs!AL22</f>
        <v>0.79274139408929556</v>
      </c>
    </row>
    <row r="35" spans="1:5" x14ac:dyDescent="0.2">
      <c r="A35" s="6" t="s">
        <v>245</v>
      </c>
      <c r="B35" s="30">
        <f>Costs!N24</f>
        <v>0.20508802352343627</v>
      </c>
      <c r="C35" s="30">
        <f>Costs!Z24</f>
        <v>0.43138698824921556</v>
      </c>
      <c r="D35" s="30">
        <f>Costs!AL24</f>
        <v>0.50114599288875894</v>
      </c>
    </row>
    <row r="36" spans="1:5" x14ac:dyDescent="0.2">
      <c r="A36" t="s">
        <v>246</v>
      </c>
      <c r="B36">
        <f>Revenue!N19</f>
        <v>0.96886829883101988</v>
      </c>
      <c r="C36">
        <f>Revenue!Z19</f>
        <v>0.97081865318576399</v>
      </c>
      <c r="D36">
        <f>Revenue!AL19</f>
        <v>0.97132559247606953</v>
      </c>
    </row>
    <row r="38" spans="1:5" x14ac:dyDescent="0.2">
      <c r="A38" s="3" t="s">
        <v>247</v>
      </c>
      <c r="B38" s="4"/>
      <c r="C38" s="4"/>
      <c r="D38" s="4"/>
      <c r="E38" s="4"/>
    </row>
    <row r="39" spans="1:5" x14ac:dyDescent="0.2">
      <c r="A39" s="6" t="s">
        <v>248</v>
      </c>
      <c r="B39" s="13">
        <v>0.16</v>
      </c>
      <c r="C39" s="12" t="s">
        <v>249</v>
      </c>
    </row>
    <row r="40" spans="1:5" x14ac:dyDescent="0.2">
      <c r="A40" s="6" t="s">
        <v>250</v>
      </c>
      <c r="B40" s="13">
        <v>0.06</v>
      </c>
      <c r="C40" s="12" t="s">
        <v>251</v>
      </c>
    </row>
    <row r="41" spans="1:5" x14ac:dyDescent="0.2">
      <c r="A41" s="6" t="s">
        <v>252</v>
      </c>
      <c r="B41" s="23">
        <f>1-B39-B40</f>
        <v>0.78</v>
      </c>
    </row>
    <row r="43" spans="1:5" x14ac:dyDescent="0.2">
      <c r="A43" s="3" t="s">
        <v>253</v>
      </c>
      <c r="B43" s="4"/>
      <c r="C43" s="4"/>
      <c r="D43" s="4"/>
      <c r="E43" s="4"/>
    </row>
    <row r="44" spans="1:5" x14ac:dyDescent="0.2">
      <c r="A44" s="6" t="s">
        <v>254</v>
      </c>
      <c r="B44" s="35">
        <f>B39*Assumptions!$B$28+B40*Assumptions!$B$29</f>
        <v>2.304354</v>
      </c>
      <c r="C44" s="16" t="s">
        <v>255</v>
      </c>
    </row>
    <row r="45" spans="1:5" x14ac:dyDescent="0.2">
      <c r="A45" s="6" t="s">
        <v>256</v>
      </c>
      <c r="B45" s="35">
        <f>B41*Assumptions!$B$33+(B39+B40)*Assumptions!$B$32</f>
        <v>0.55699999999999994</v>
      </c>
      <c r="C45" s="16" t="s">
        <v>257</v>
      </c>
    </row>
    <row r="46" spans="1:5" x14ac:dyDescent="0.2">
      <c r="A46" s="6" t="s">
        <v>258</v>
      </c>
      <c r="B46" s="36">
        <f>B44*Assumptions!$B$61</f>
        <v>0.5760885</v>
      </c>
    </row>
    <row r="47" spans="1:5" x14ac:dyDescent="0.2">
      <c r="A47" s="17" t="s">
        <v>259</v>
      </c>
      <c r="B47" s="35">
        <f>B44-B45-B46</f>
        <v>1.1712655000000001</v>
      </c>
      <c r="C47" s="16" t="s">
        <v>260</v>
      </c>
    </row>
    <row r="49" spans="1:5" x14ac:dyDescent="0.2">
      <c r="A49" s="3" t="s">
        <v>261</v>
      </c>
      <c r="B49" s="4"/>
      <c r="C49" s="4"/>
      <c r="D49" s="4"/>
      <c r="E49" s="4"/>
    </row>
    <row r="50" spans="1:5" x14ac:dyDescent="0.2">
      <c r="A50" s="6" t="s">
        <v>262</v>
      </c>
      <c r="B50" s="24">
        <f>Assumptions!B47*Assumptions!$B$48/12</f>
        <v>112500</v>
      </c>
    </row>
    <row r="51" spans="1:5" x14ac:dyDescent="0.2">
      <c r="A51" s="6" t="s">
        <v>263</v>
      </c>
      <c r="B51" s="24">
        <f>Assumptions!$B$58+Assumptions!$B$59+Assumptions!$B$60+Assumptions!$B$62</f>
        <v>19000</v>
      </c>
    </row>
    <row r="52" spans="1:5" x14ac:dyDescent="0.2">
      <c r="A52" s="17" t="s">
        <v>264</v>
      </c>
      <c r="B52" s="28">
        <f>B50+B51</f>
        <v>131500</v>
      </c>
    </row>
    <row r="53" spans="1:5" x14ac:dyDescent="0.2">
      <c r="A53" s="17" t="s">
        <v>265</v>
      </c>
      <c r="B53" s="22">
        <f>IF(B47&gt;0,ROUND(B52/B47,0),"N/A")</f>
        <v>112272</v>
      </c>
      <c r="C53" s="16" t="s">
        <v>266</v>
      </c>
    </row>
    <row r="55" spans="1:5" x14ac:dyDescent="0.2">
      <c r="A55" s="6" t="s">
        <v>267</v>
      </c>
      <c r="B55" s="24">
        <f>Assumptions!C47*Assumptions!$B$48/12</f>
        <v>150000</v>
      </c>
    </row>
    <row r="56" spans="1:5" x14ac:dyDescent="0.2">
      <c r="A56" s="6" t="s">
        <v>268</v>
      </c>
      <c r="B56" s="24">
        <f>Assumptions!$B$58+Assumptions!$B$59+Assumptions!$B$60+Assumptions!$B$62</f>
        <v>19000</v>
      </c>
    </row>
    <row r="57" spans="1:5" x14ac:dyDescent="0.2">
      <c r="A57" s="17" t="s">
        <v>269</v>
      </c>
      <c r="B57" s="28">
        <f>B55+B56</f>
        <v>169000</v>
      </c>
    </row>
    <row r="58" spans="1:5" x14ac:dyDescent="0.2">
      <c r="A58" s="17" t="s">
        <v>270</v>
      </c>
      <c r="B58" s="22">
        <f>IF(B47&gt;0,ROUND(B57/B47,0),"N/A")</f>
        <v>144288</v>
      </c>
      <c r="C58" s="16" t="s">
        <v>271</v>
      </c>
    </row>
    <row r="60" spans="1:5" x14ac:dyDescent="0.2">
      <c r="A60" s="6" t="s">
        <v>272</v>
      </c>
      <c r="B60" s="24">
        <f>Assumptions!D47*Assumptions!$B$48/12</f>
        <v>225000</v>
      </c>
    </row>
    <row r="61" spans="1:5" x14ac:dyDescent="0.2">
      <c r="A61" s="6" t="s">
        <v>273</v>
      </c>
      <c r="B61" s="24">
        <f>Assumptions!$B$58+Assumptions!$B$59+Assumptions!$B$60+Assumptions!$B$62</f>
        <v>19000</v>
      </c>
    </row>
    <row r="62" spans="1:5" x14ac:dyDescent="0.2">
      <c r="A62" s="17" t="s">
        <v>274</v>
      </c>
      <c r="B62" s="28">
        <f>B60+B61</f>
        <v>244000</v>
      </c>
    </row>
    <row r="63" spans="1:5" x14ac:dyDescent="0.2">
      <c r="A63" s="17" t="s">
        <v>275</v>
      </c>
      <c r="B63" s="22">
        <f>IF(B47&gt;0,ROUND(B62/B47,0),"N/A")</f>
        <v>208322</v>
      </c>
    </row>
    <row r="65" spans="1:5" x14ac:dyDescent="0.2">
      <c r="A65" s="3" t="s">
        <v>276</v>
      </c>
      <c r="B65" s="4"/>
      <c r="C65" s="4"/>
      <c r="D65" s="4"/>
      <c r="E65" s="4"/>
    </row>
    <row r="66" spans="1:5" x14ac:dyDescent="0.2">
      <c r="A66" s="6" t="s">
        <v>277</v>
      </c>
      <c r="B66" s="37">
        <f>SUMPRODUCT(--(Costs!C23:AL23&lt;0))</f>
        <v>9</v>
      </c>
    </row>
    <row r="67" spans="1:5" x14ac:dyDescent="0.2">
      <c r="A67" s="17" t="s">
        <v>278</v>
      </c>
      <c r="B67" s="37">
        <f>B66+1</f>
        <v>10</v>
      </c>
      <c r="C67" s="16" t="s">
        <v>279</v>
      </c>
    </row>
    <row r="68" spans="1:5" x14ac:dyDescent="0.2">
      <c r="A68" s="17" t="s">
        <v>280</v>
      </c>
      <c r="B68" s="21">
        <f>INDEX('User Growth'!C28:AL28,1,B67)</f>
        <v>239190</v>
      </c>
      <c r="C68" s="16" t="s">
        <v>281</v>
      </c>
    </row>
    <row r="69" spans="1:5" x14ac:dyDescent="0.2">
      <c r="A69" s="6" t="s">
        <v>282</v>
      </c>
      <c r="B69" s="21">
        <f>INDEX('User Growth'!C29:AL29,1,B67)</f>
        <v>40880</v>
      </c>
    </row>
    <row r="70" spans="1:5" x14ac:dyDescent="0.2">
      <c r="A70" s="6" t="s">
        <v>283</v>
      </c>
      <c r="B70" s="23">
        <f>IF(B68&gt;0,B69/B68,0)</f>
        <v>0.17091015510681884</v>
      </c>
    </row>
    <row r="71" spans="1:5" x14ac:dyDescent="0.2">
      <c r="A71" s="6" t="s">
        <v>284</v>
      </c>
      <c r="B71" s="24">
        <f>INDEX(Revenue!C8:AL8,1,B67)</f>
        <v>420277.41599999997</v>
      </c>
    </row>
    <row r="72" spans="1:5" x14ac:dyDescent="0.2">
      <c r="A72" s="6" t="s">
        <v>285</v>
      </c>
      <c r="B72" s="28">
        <f>B71*12</f>
        <v>5043328.9919999996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EF4444"/>
  </sheetPr>
  <dimension ref="A1:AL21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30" customWidth="1"/>
    <col min="2" max="2" width="8" customWidth="1"/>
    <col min="3" max="38" width="14" customWidth="1"/>
  </cols>
  <sheetData>
    <row r="1" spans="1:38" ht="18" x14ac:dyDescent="0.2">
      <c r="A1" s="1" t="s">
        <v>286</v>
      </c>
    </row>
    <row r="2" spans="1:38" x14ac:dyDescent="0.2">
      <c r="A2" s="2" t="s">
        <v>287</v>
      </c>
    </row>
    <row r="4" spans="1:38" x14ac:dyDescent="0.2">
      <c r="A4" s="19" t="s">
        <v>112</v>
      </c>
      <c r="B4" s="19" t="s">
        <v>113</v>
      </c>
      <c r="C4" s="20" t="s">
        <v>114</v>
      </c>
      <c r="D4" s="20" t="s">
        <v>115</v>
      </c>
      <c r="E4" s="20" t="s">
        <v>116</v>
      </c>
      <c r="F4" s="20" t="s">
        <v>117</v>
      </c>
      <c r="G4" s="20" t="s">
        <v>118</v>
      </c>
      <c r="H4" s="20" t="s">
        <v>119</v>
      </c>
      <c r="I4" s="20" t="s">
        <v>120</v>
      </c>
      <c r="J4" s="20" t="s">
        <v>121</v>
      </c>
      <c r="K4" s="20" t="s">
        <v>122</v>
      </c>
      <c r="L4" s="20" t="s">
        <v>123</v>
      </c>
      <c r="M4" s="20" t="s">
        <v>124</v>
      </c>
      <c r="N4" s="20" t="s">
        <v>125</v>
      </c>
      <c r="O4" s="20" t="s">
        <v>126</v>
      </c>
      <c r="P4" s="20" t="s">
        <v>127</v>
      </c>
      <c r="Q4" s="20" t="s">
        <v>128</v>
      </c>
      <c r="R4" s="20" t="s">
        <v>129</v>
      </c>
      <c r="S4" s="20" t="s">
        <v>130</v>
      </c>
      <c r="T4" s="20" t="s">
        <v>131</v>
      </c>
      <c r="U4" s="20" t="s">
        <v>132</v>
      </c>
      <c r="V4" s="20" t="s">
        <v>133</v>
      </c>
      <c r="W4" s="20" t="s">
        <v>134</v>
      </c>
      <c r="X4" s="20" t="s">
        <v>135</v>
      </c>
      <c r="Y4" s="20" t="s">
        <v>136</v>
      </c>
      <c r="Z4" s="20" t="s">
        <v>137</v>
      </c>
      <c r="AA4" s="20" t="s">
        <v>138</v>
      </c>
      <c r="AB4" s="20" t="s">
        <v>139</v>
      </c>
      <c r="AC4" s="20" t="s">
        <v>140</v>
      </c>
      <c r="AD4" s="20" t="s">
        <v>141</v>
      </c>
      <c r="AE4" s="20" t="s">
        <v>142</v>
      </c>
      <c r="AF4" s="20" t="s">
        <v>143</v>
      </c>
      <c r="AG4" s="20" t="s">
        <v>144</v>
      </c>
      <c r="AH4" s="20" t="s">
        <v>145</v>
      </c>
      <c r="AI4" s="20" t="s">
        <v>146</v>
      </c>
      <c r="AJ4" s="20" t="s">
        <v>147</v>
      </c>
      <c r="AK4" s="20" t="s">
        <v>148</v>
      </c>
      <c r="AL4" s="20" t="s">
        <v>149</v>
      </c>
    </row>
    <row r="5" spans="1:38" x14ac:dyDescent="0.2">
      <c r="A5" s="3" t="s">
        <v>288</v>
      </c>
      <c r="B5" s="4"/>
      <c r="C5" s="4"/>
      <c r="D5" s="4"/>
      <c r="E5" s="4"/>
    </row>
    <row r="6" spans="1:38" x14ac:dyDescent="0.2">
      <c r="A6" s="6" t="s">
        <v>289</v>
      </c>
      <c r="B6" s="6" t="s">
        <v>180</v>
      </c>
      <c r="C6" s="24">
        <f>Revenue!C16</f>
        <v>6786.2379000000001</v>
      </c>
      <c r="D6" s="24">
        <f>Revenue!D16</f>
        <v>20566.9686</v>
      </c>
      <c r="E6" s="24">
        <f>Revenue!E16</f>
        <v>41606.191200000001</v>
      </c>
      <c r="F6" s="24">
        <f>Revenue!F16</f>
        <v>70182.766199999998</v>
      </c>
      <c r="G6" s="24">
        <f>Revenue!G16</f>
        <v>106649.889</v>
      </c>
      <c r="H6" s="24">
        <f>Revenue!H16</f>
        <v>151331.00429999997</v>
      </c>
      <c r="I6" s="24">
        <f>Revenue!I16</f>
        <v>204642.48239999998</v>
      </c>
      <c r="J6" s="24">
        <f>Revenue!J16</f>
        <v>266967.2415</v>
      </c>
      <c r="K6" s="24">
        <f>Revenue!K16</f>
        <v>338699.33189999999</v>
      </c>
      <c r="L6" s="24">
        <f>Revenue!L16</f>
        <v>420277.41599999997</v>
      </c>
      <c r="M6" s="24">
        <f>Revenue!M16</f>
        <v>512136.42689999996</v>
      </c>
      <c r="N6" s="24">
        <f>Revenue!N16</f>
        <v>614759.63910000003</v>
      </c>
      <c r="O6" s="24">
        <f>Revenue!O16</f>
        <v>728570.82569999993</v>
      </c>
      <c r="P6" s="24">
        <f>Revenue!P16</f>
        <v>854053.26119999995</v>
      </c>
      <c r="Q6" s="24">
        <f>Revenue!Q16</f>
        <v>991645.60800000001</v>
      </c>
      <c r="R6" s="24">
        <f>Revenue!R16</f>
        <v>1141808.8205999997</v>
      </c>
      <c r="S6" s="24">
        <f>Revenue!S16</f>
        <v>1304970.4013999999</v>
      </c>
      <c r="T6" s="24">
        <f>Revenue!T16</f>
        <v>1481595.0342000001</v>
      </c>
      <c r="U6" s="24">
        <f>Revenue!U16</f>
        <v>1672113.9506999999</v>
      </c>
      <c r="V6" s="24">
        <f>Revenue!V16</f>
        <v>1876921.2012</v>
      </c>
      <c r="W6" s="24">
        <f>Revenue!W16</f>
        <v>2096448.0174</v>
      </c>
      <c r="X6" s="24">
        <f>Revenue!X16</f>
        <v>2331095.9081999995</v>
      </c>
      <c r="Y6" s="24">
        <f>Revenue!Y16</f>
        <v>2581244.0625</v>
      </c>
      <c r="Z6" s="24">
        <f>Revenue!Z16</f>
        <v>2847275.3984999997</v>
      </c>
      <c r="AA6" s="24">
        <f>Revenue!AA16</f>
        <v>3129502.2008999996</v>
      </c>
      <c r="AB6" s="24">
        <f>Revenue!AB16</f>
        <v>3428292.5264999997</v>
      </c>
      <c r="AC6" s="24">
        <f>Revenue!AC16</f>
        <v>3743932.6385999997</v>
      </c>
      <c r="AD6" s="24">
        <f>Revenue!AD16</f>
        <v>4076731.1205000002</v>
      </c>
      <c r="AE6" s="24">
        <f>Revenue!AE16</f>
        <v>4426959.3740999997</v>
      </c>
      <c r="AF6" s="24">
        <f>Revenue!AF16</f>
        <v>4794903.6906000003</v>
      </c>
      <c r="AG6" s="24">
        <f>Revenue!AG16</f>
        <v>5180790.8597999997</v>
      </c>
      <c r="AH6" s="24">
        <f>Revenue!AH16</f>
        <v>5584843.9700999996</v>
      </c>
      <c r="AI6" s="24">
        <f>Revenue!AI16</f>
        <v>6007278.6791999992</v>
      </c>
      <c r="AJ6" s="24">
        <f>Revenue!AJ16</f>
        <v>6448292.0540999994</v>
      </c>
      <c r="AK6" s="24">
        <f>Revenue!AK16</f>
        <v>6908066.3004000001</v>
      </c>
      <c r="AL6" s="24">
        <f>Revenue!AL16</f>
        <v>7386761.3037</v>
      </c>
    </row>
    <row r="7" spans="1:38" x14ac:dyDescent="0.2">
      <c r="A7" s="6" t="s">
        <v>210</v>
      </c>
      <c r="B7" s="6" t="s">
        <v>180</v>
      </c>
      <c r="C7" s="24">
        <f>Costs!C20</f>
        <v>140598.53</v>
      </c>
      <c r="D7" s="24">
        <f>Costs!D20</f>
        <v>146421.28215000001</v>
      </c>
      <c r="E7" s="24">
        <f>Costs!E20</f>
        <v>158989.50779999999</v>
      </c>
      <c r="F7" s="24">
        <f>Costs!F20</f>
        <v>175117.03154999999</v>
      </c>
      <c r="G7" s="24">
        <f>Costs!G20</f>
        <v>194952.29225</v>
      </c>
      <c r="H7" s="24">
        <f>Costs!H20</f>
        <v>218634.44107500001</v>
      </c>
      <c r="I7" s="24">
        <f>Costs!I20</f>
        <v>283839.58059999999</v>
      </c>
      <c r="J7" s="24">
        <f>Costs!J20</f>
        <v>315729.000375</v>
      </c>
      <c r="K7" s="24">
        <f>Costs!K20</f>
        <v>351971.42297499999</v>
      </c>
      <c r="L7" s="24">
        <f>Costs!L20</f>
        <v>392751.554</v>
      </c>
      <c r="M7" s="24">
        <f>Costs!M20</f>
        <v>438254.47672500001</v>
      </c>
      <c r="N7" s="24">
        <f>Costs!N20</f>
        <v>488679.79977500002</v>
      </c>
      <c r="O7" s="24">
        <f>Costs!O20</f>
        <v>544207.29642499995</v>
      </c>
      <c r="P7" s="24">
        <f>Costs!P20</f>
        <v>605034.77529999998</v>
      </c>
      <c r="Q7" s="24">
        <f>Costs!Q20</f>
        <v>671342.08200000005</v>
      </c>
      <c r="R7" s="24">
        <f>Costs!R20</f>
        <v>743319.10514999996</v>
      </c>
      <c r="S7" s="24">
        <f>Costs!S20</f>
        <v>821140.92035000003</v>
      </c>
      <c r="T7" s="24">
        <f>Costs!T20</f>
        <v>904994.87855000002</v>
      </c>
      <c r="U7" s="24">
        <f>Costs!U20</f>
        <v>1070052.977675</v>
      </c>
      <c r="V7" s="24">
        <f>Costs!V20</f>
        <v>1166473.1403000001</v>
      </c>
      <c r="W7" s="24">
        <f>Costs!W20</f>
        <v>1269425.92435</v>
      </c>
      <c r="X7" s="24">
        <f>Costs!X20</f>
        <v>1379065.7970499997</v>
      </c>
      <c r="Y7" s="24">
        <f>Costs!Y20</f>
        <v>1495540.9256250001</v>
      </c>
      <c r="Z7" s="24">
        <f>Costs!Z20</f>
        <v>1618997.8396249998</v>
      </c>
      <c r="AA7" s="24">
        <f>Costs!AA20</f>
        <v>1749555.2602249999</v>
      </c>
      <c r="AB7" s="24">
        <f>Costs!AB20</f>
        <v>1887351.4016249999</v>
      </c>
      <c r="AC7" s="24">
        <f>Costs!AC20</f>
        <v>2032492.9796500001</v>
      </c>
      <c r="AD7" s="24">
        <f>Costs!AD20</f>
        <v>2185092.470125</v>
      </c>
      <c r="AE7" s="24">
        <f>Costs!AE20</f>
        <v>2345248.2735249996</v>
      </c>
      <c r="AF7" s="24">
        <f>Costs!AF20</f>
        <v>2513060.84265</v>
      </c>
      <c r="AG7" s="24">
        <f>Costs!AG20</f>
        <v>2688611.5149499997</v>
      </c>
      <c r="AH7" s="24">
        <f>Costs!AH20</f>
        <v>2871976.2825250002</v>
      </c>
      <c r="AI7" s="24">
        <f>Costs!AI20</f>
        <v>3063227.2497999999</v>
      </c>
      <c r="AJ7" s="24">
        <f>Costs!AJ20</f>
        <v>3262429.8435249999</v>
      </c>
      <c r="AK7" s="24">
        <f>Costs!AK20</f>
        <v>3469641.8951000003</v>
      </c>
      <c r="AL7" s="24">
        <f>Costs!AL20</f>
        <v>3684915.4759249999</v>
      </c>
    </row>
    <row r="8" spans="1:38" x14ac:dyDescent="0.2">
      <c r="A8" s="17" t="s">
        <v>290</v>
      </c>
      <c r="B8" s="17" t="s">
        <v>180</v>
      </c>
      <c r="C8" s="27">
        <f t="shared" ref="C8:AL8" si="0">C6-C7</f>
        <v>-133812.29209999999</v>
      </c>
      <c r="D8" s="27">
        <f t="shared" si="0"/>
        <v>-125854.31355000002</v>
      </c>
      <c r="E8" s="27">
        <f t="shared" si="0"/>
        <v>-117383.31659999999</v>
      </c>
      <c r="F8" s="27">
        <f t="shared" si="0"/>
        <v>-104934.26534999999</v>
      </c>
      <c r="G8" s="27">
        <f t="shared" si="0"/>
        <v>-88302.403250000003</v>
      </c>
      <c r="H8" s="27">
        <f t="shared" si="0"/>
        <v>-67303.436775000038</v>
      </c>
      <c r="I8" s="27">
        <f t="shared" si="0"/>
        <v>-79197.098200000008</v>
      </c>
      <c r="J8" s="27">
        <f t="shared" si="0"/>
        <v>-48761.758875</v>
      </c>
      <c r="K8" s="27">
        <f t="shared" si="0"/>
        <v>-13272.091075000004</v>
      </c>
      <c r="L8" s="27">
        <f t="shared" si="0"/>
        <v>27525.861999999965</v>
      </c>
      <c r="M8" s="27">
        <f t="shared" si="0"/>
        <v>73881.950174999947</v>
      </c>
      <c r="N8" s="27">
        <f t="shared" si="0"/>
        <v>126079.83932500001</v>
      </c>
      <c r="O8" s="27">
        <f t="shared" si="0"/>
        <v>184363.52927499998</v>
      </c>
      <c r="P8" s="27">
        <f t="shared" si="0"/>
        <v>249018.48589999997</v>
      </c>
      <c r="Q8" s="27">
        <f t="shared" si="0"/>
        <v>320303.52599999995</v>
      </c>
      <c r="R8" s="27">
        <f t="shared" si="0"/>
        <v>398489.71544999979</v>
      </c>
      <c r="S8" s="27">
        <f t="shared" si="0"/>
        <v>483829.48104999983</v>
      </c>
      <c r="T8" s="27">
        <f t="shared" si="0"/>
        <v>576600.15565000009</v>
      </c>
      <c r="U8" s="27">
        <f t="shared" si="0"/>
        <v>602060.97302499996</v>
      </c>
      <c r="V8" s="27">
        <f t="shared" si="0"/>
        <v>710448.06089999992</v>
      </c>
      <c r="W8" s="27">
        <f t="shared" si="0"/>
        <v>827022.09305000002</v>
      </c>
      <c r="X8" s="27">
        <f t="shared" si="0"/>
        <v>952030.11114999978</v>
      </c>
      <c r="Y8" s="27">
        <f t="shared" si="0"/>
        <v>1085703.1368749999</v>
      </c>
      <c r="Z8" s="27">
        <f t="shared" si="0"/>
        <v>1228277.5588749999</v>
      </c>
      <c r="AA8" s="27">
        <f t="shared" si="0"/>
        <v>1379946.9406749997</v>
      </c>
      <c r="AB8" s="27">
        <f t="shared" si="0"/>
        <v>1540941.1248749997</v>
      </c>
      <c r="AC8" s="27">
        <f t="shared" si="0"/>
        <v>1711439.6589499996</v>
      </c>
      <c r="AD8" s="27">
        <f t="shared" si="0"/>
        <v>1891638.6503750002</v>
      </c>
      <c r="AE8" s="27">
        <f t="shared" si="0"/>
        <v>2081711.100575</v>
      </c>
      <c r="AF8" s="27">
        <f t="shared" si="0"/>
        <v>2281842.8479500003</v>
      </c>
      <c r="AG8" s="27">
        <f t="shared" si="0"/>
        <v>2492179.34485</v>
      </c>
      <c r="AH8" s="27">
        <f t="shared" si="0"/>
        <v>2712867.6875749994</v>
      </c>
      <c r="AI8" s="27">
        <f t="shared" si="0"/>
        <v>2944051.4293999993</v>
      </c>
      <c r="AJ8" s="27">
        <f t="shared" si="0"/>
        <v>3185862.2105749995</v>
      </c>
      <c r="AK8" s="27">
        <f t="shared" si="0"/>
        <v>3438424.4052999998</v>
      </c>
      <c r="AL8" s="27">
        <f t="shared" si="0"/>
        <v>3701845.8277750001</v>
      </c>
    </row>
    <row r="9" spans="1:38" x14ac:dyDescent="0.2">
      <c r="A9" s="3" t="s">
        <v>291</v>
      </c>
      <c r="B9" s="4"/>
      <c r="C9" s="4"/>
      <c r="D9" s="4"/>
      <c r="E9" s="4"/>
    </row>
    <row r="10" spans="1:38" x14ac:dyDescent="0.2">
      <c r="A10" s="6" t="s">
        <v>292</v>
      </c>
      <c r="B10" s="6" t="s">
        <v>180</v>
      </c>
      <c r="C10" s="24">
        <f>Assumptions!B51</f>
        <v>5000000</v>
      </c>
      <c r="D10" s="28">
        <f>0</f>
        <v>0</v>
      </c>
      <c r="E10" s="28">
        <f>0</f>
        <v>0</v>
      </c>
      <c r="F10" s="28">
        <f>0</f>
        <v>0</v>
      </c>
      <c r="G10" s="28">
        <f>0</f>
        <v>0</v>
      </c>
      <c r="H10" s="28">
        <f>0</f>
        <v>0</v>
      </c>
      <c r="I10" s="28">
        <f>0</f>
        <v>0</v>
      </c>
      <c r="J10" s="28">
        <f>0</f>
        <v>0</v>
      </c>
      <c r="K10" s="28">
        <f>0</f>
        <v>0</v>
      </c>
      <c r="L10" s="28">
        <f>0</f>
        <v>0</v>
      </c>
      <c r="M10" s="28">
        <f>0</f>
        <v>0</v>
      </c>
      <c r="N10" s="28">
        <f>0</f>
        <v>0</v>
      </c>
      <c r="O10" s="28">
        <f>0</f>
        <v>0</v>
      </c>
      <c r="P10" s="28">
        <f>0</f>
        <v>0</v>
      </c>
      <c r="Q10" s="28">
        <f>0</f>
        <v>0</v>
      </c>
      <c r="R10" s="28">
        <f>0</f>
        <v>0</v>
      </c>
      <c r="S10" s="28">
        <f>0</f>
        <v>0</v>
      </c>
      <c r="T10" s="28">
        <f>0</f>
        <v>0</v>
      </c>
      <c r="U10" s="28">
        <f>0</f>
        <v>0</v>
      </c>
      <c r="V10" s="28">
        <f>0</f>
        <v>0</v>
      </c>
      <c r="W10" s="28">
        <f>0</f>
        <v>0</v>
      </c>
      <c r="X10" s="28">
        <f>0</f>
        <v>0</v>
      </c>
      <c r="Y10" s="28">
        <f>0</f>
        <v>0</v>
      </c>
      <c r="Z10" s="28">
        <f>0</f>
        <v>0</v>
      </c>
      <c r="AA10" s="28">
        <f>0</f>
        <v>0</v>
      </c>
      <c r="AB10" s="28">
        <f>0</f>
        <v>0</v>
      </c>
      <c r="AC10" s="28">
        <f>0</f>
        <v>0</v>
      </c>
      <c r="AD10" s="28">
        <f>0</f>
        <v>0</v>
      </c>
      <c r="AE10" s="28">
        <f>0</f>
        <v>0</v>
      </c>
      <c r="AF10" s="28">
        <f>0</f>
        <v>0</v>
      </c>
      <c r="AG10" s="28">
        <f>0</f>
        <v>0</v>
      </c>
      <c r="AH10" s="28">
        <f>0</f>
        <v>0</v>
      </c>
      <c r="AI10" s="28">
        <f>0</f>
        <v>0</v>
      </c>
      <c r="AJ10" s="28">
        <f>0</f>
        <v>0</v>
      </c>
      <c r="AK10" s="28">
        <f>0</f>
        <v>0</v>
      </c>
      <c r="AL10" s="28">
        <f>0</f>
        <v>0</v>
      </c>
    </row>
    <row r="11" spans="1:38" x14ac:dyDescent="0.2">
      <c r="A11" s="6" t="s">
        <v>293</v>
      </c>
      <c r="B11" s="6" t="s">
        <v>180</v>
      </c>
      <c r="C11" s="28">
        <f>0</f>
        <v>0</v>
      </c>
      <c r="D11" s="24">
        <f>IF(AND(Revenue!D8&gt;=Assumptions!$B$55, Revenue!C8&lt;Assumptions!$B$55), Assumptions!$B$53, 0)</f>
        <v>0</v>
      </c>
      <c r="E11" s="24">
        <f>IF(AND(Revenue!E8&gt;=Assumptions!$B$55, Revenue!D8&lt;Assumptions!$B$55), Assumptions!$B$53, 0)</f>
        <v>0</v>
      </c>
      <c r="F11" s="24">
        <f>IF(AND(Revenue!F8&gt;=Assumptions!$B$55, Revenue!E8&lt;Assumptions!$B$55), Assumptions!$B$53, 0)</f>
        <v>0</v>
      </c>
      <c r="G11" s="24">
        <f>IF(AND(Revenue!G8&gt;=Assumptions!$B$55, Revenue!F8&lt;Assumptions!$B$55), Assumptions!$B$53, 0)</f>
        <v>0</v>
      </c>
      <c r="H11" s="24">
        <f>IF(AND(Revenue!H8&gt;=Assumptions!$B$55, Revenue!G8&lt;Assumptions!$B$55), Assumptions!$B$53, 0)</f>
        <v>0</v>
      </c>
      <c r="I11" s="24">
        <f>IF(AND(Revenue!I8&gt;=Assumptions!$B$55, Revenue!H8&lt;Assumptions!$B$55), Assumptions!$B$53, 0)</f>
        <v>0</v>
      </c>
      <c r="J11" s="24">
        <f>IF(AND(Revenue!J8&gt;=Assumptions!$B$55, Revenue!I8&lt;Assumptions!$B$55), Assumptions!$B$53, 0)</f>
        <v>0</v>
      </c>
      <c r="K11" s="24">
        <f>IF(AND(Revenue!K8&gt;=Assumptions!$B$55, Revenue!J8&lt;Assumptions!$B$55), Assumptions!$B$53, 0)</f>
        <v>20000000</v>
      </c>
      <c r="L11" s="24">
        <f>IF(AND(Revenue!L8&gt;=Assumptions!$B$55, Revenue!K8&lt;Assumptions!$B$55), Assumptions!$B$53, 0)</f>
        <v>0</v>
      </c>
      <c r="M11" s="24">
        <f>IF(AND(Revenue!M8&gt;=Assumptions!$B$55, Revenue!L8&lt;Assumptions!$B$55), Assumptions!$B$53, 0)</f>
        <v>0</v>
      </c>
      <c r="N11" s="24">
        <f>IF(AND(Revenue!N8&gt;=Assumptions!$B$55, Revenue!M8&lt;Assumptions!$B$55), Assumptions!$B$53, 0)</f>
        <v>0</v>
      </c>
      <c r="O11" s="24">
        <f>IF(AND(Revenue!O8&gt;=Assumptions!$B$55, Revenue!N8&lt;Assumptions!$B$55), Assumptions!$B$53, 0)</f>
        <v>0</v>
      </c>
      <c r="P11" s="24">
        <f>IF(AND(Revenue!P8&gt;=Assumptions!$B$55, Revenue!O8&lt;Assumptions!$B$55), Assumptions!$B$53, 0)</f>
        <v>0</v>
      </c>
      <c r="Q11" s="24">
        <f>IF(AND(Revenue!Q8&gt;=Assumptions!$B$55, Revenue!P8&lt;Assumptions!$B$55), Assumptions!$B$53, 0)</f>
        <v>0</v>
      </c>
      <c r="R11" s="24">
        <f>IF(AND(Revenue!R8&gt;=Assumptions!$B$55, Revenue!Q8&lt;Assumptions!$B$55), Assumptions!$B$53, 0)</f>
        <v>0</v>
      </c>
      <c r="S11" s="24">
        <f>IF(AND(Revenue!S8&gt;=Assumptions!$B$55, Revenue!R8&lt;Assumptions!$B$55), Assumptions!$B$53, 0)</f>
        <v>0</v>
      </c>
      <c r="T11" s="24">
        <f>IF(AND(Revenue!T8&gt;=Assumptions!$B$55, Revenue!S8&lt;Assumptions!$B$55), Assumptions!$B$53, 0)</f>
        <v>0</v>
      </c>
      <c r="U11" s="24">
        <f>IF(AND(Revenue!U8&gt;=Assumptions!$B$55, Revenue!T8&lt;Assumptions!$B$55), Assumptions!$B$53, 0)</f>
        <v>0</v>
      </c>
      <c r="V11" s="24">
        <f>IF(AND(Revenue!V8&gt;=Assumptions!$B$55, Revenue!U8&lt;Assumptions!$B$55), Assumptions!$B$53, 0)</f>
        <v>0</v>
      </c>
      <c r="W11" s="24">
        <f>IF(AND(Revenue!W8&gt;=Assumptions!$B$55, Revenue!V8&lt;Assumptions!$B$55), Assumptions!$B$53, 0)</f>
        <v>0</v>
      </c>
      <c r="X11" s="24">
        <f>IF(AND(Revenue!X8&gt;=Assumptions!$B$55, Revenue!W8&lt;Assumptions!$B$55), Assumptions!$B$53, 0)</f>
        <v>0</v>
      </c>
      <c r="Y11" s="24">
        <f>IF(AND(Revenue!Y8&gt;=Assumptions!$B$55, Revenue!X8&lt;Assumptions!$B$55), Assumptions!$B$53, 0)</f>
        <v>0</v>
      </c>
      <c r="Z11" s="24">
        <f>IF(AND(Revenue!Z8&gt;=Assumptions!$B$55, Revenue!Y8&lt;Assumptions!$B$55), Assumptions!$B$53, 0)</f>
        <v>0</v>
      </c>
      <c r="AA11" s="24">
        <f>IF(AND(Revenue!AA8&gt;=Assumptions!$B$55, Revenue!Z8&lt;Assumptions!$B$55), Assumptions!$B$53, 0)</f>
        <v>0</v>
      </c>
      <c r="AB11" s="24">
        <f>IF(AND(Revenue!AB8&gt;=Assumptions!$B$55, Revenue!AA8&lt;Assumptions!$B$55), Assumptions!$B$53, 0)</f>
        <v>0</v>
      </c>
      <c r="AC11" s="24">
        <f>IF(AND(Revenue!AC8&gt;=Assumptions!$B$55, Revenue!AB8&lt;Assumptions!$B$55), Assumptions!$B$53, 0)</f>
        <v>0</v>
      </c>
      <c r="AD11" s="24">
        <f>IF(AND(Revenue!AD8&gt;=Assumptions!$B$55, Revenue!AC8&lt;Assumptions!$B$55), Assumptions!$B$53, 0)</f>
        <v>0</v>
      </c>
      <c r="AE11" s="24">
        <f>IF(AND(Revenue!AE8&gt;=Assumptions!$B$55, Revenue!AD8&lt;Assumptions!$B$55), Assumptions!$B$53, 0)</f>
        <v>0</v>
      </c>
      <c r="AF11" s="24">
        <f>IF(AND(Revenue!AF8&gt;=Assumptions!$B$55, Revenue!AE8&lt;Assumptions!$B$55), Assumptions!$B$53, 0)</f>
        <v>0</v>
      </c>
      <c r="AG11" s="24">
        <f>IF(AND(Revenue!AG8&gt;=Assumptions!$B$55, Revenue!AF8&lt;Assumptions!$B$55), Assumptions!$B$53, 0)</f>
        <v>0</v>
      </c>
      <c r="AH11" s="24">
        <f>IF(AND(Revenue!AH8&gt;=Assumptions!$B$55, Revenue!AG8&lt;Assumptions!$B$55), Assumptions!$B$53, 0)</f>
        <v>0</v>
      </c>
      <c r="AI11" s="24">
        <f>IF(AND(Revenue!AI8&gt;=Assumptions!$B$55, Revenue!AH8&lt;Assumptions!$B$55), Assumptions!$B$53, 0)</f>
        <v>0</v>
      </c>
      <c r="AJ11" s="24">
        <f>IF(AND(Revenue!AJ8&gt;=Assumptions!$B$55, Revenue!AI8&lt;Assumptions!$B$55), Assumptions!$B$53, 0)</f>
        <v>0</v>
      </c>
      <c r="AK11" s="24">
        <f>IF(AND(Revenue!AK8&gt;=Assumptions!$B$55, Revenue!AJ8&lt;Assumptions!$B$55), Assumptions!$B$53, 0)</f>
        <v>0</v>
      </c>
      <c r="AL11" s="24">
        <f>IF(AND(Revenue!AL8&gt;=Assumptions!$B$55, Revenue!AK8&lt;Assumptions!$B$55), Assumptions!$B$53, 0)</f>
        <v>0</v>
      </c>
    </row>
    <row r="12" spans="1:38" x14ac:dyDescent="0.2">
      <c r="A12" s="17" t="s">
        <v>294</v>
      </c>
      <c r="B12" s="17" t="s">
        <v>180</v>
      </c>
      <c r="C12" s="25">
        <f t="shared" ref="C12:AL12" si="1">C10+C11</f>
        <v>5000000</v>
      </c>
      <c r="D12" s="25">
        <f t="shared" si="1"/>
        <v>0</v>
      </c>
      <c r="E12" s="25">
        <f t="shared" si="1"/>
        <v>0</v>
      </c>
      <c r="F12" s="25">
        <f t="shared" si="1"/>
        <v>0</v>
      </c>
      <c r="G12" s="25">
        <f t="shared" si="1"/>
        <v>0</v>
      </c>
      <c r="H12" s="25">
        <f t="shared" si="1"/>
        <v>0</v>
      </c>
      <c r="I12" s="25">
        <f t="shared" si="1"/>
        <v>0</v>
      </c>
      <c r="J12" s="25">
        <f t="shared" si="1"/>
        <v>0</v>
      </c>
      <c r="K12" s="25">
        <f t="shared" si="1"/>
        <v>20000000</v>
      </c>
      <c r="L12" s="25">
        <f t="shared" si="1"/>
        <v>0</v>
      </c>
      <c r="M12" s="25">
        <f t="shared" si="1"/>
        <v>0</v>
      </c>
      <c r="N12" s="25">
        <f t="shared" si="1"/>
        <v>0</v>
      </c>
      <c r="O12" s="25">
        <f t="shared" si="1"/>
        <v>0</v>
      </c>
      <c r="P12" s="25">
        <f t="shared" si="1"/>
        <v>0</v>
      </c>
      <c r="Q12" s="25">
        <f t="shared" si="1"/>
        <v>0</v>
      </c>
      <c r="R12" s="25">
        <f t="shared" si="1"/>
        <v>0</v>
      </c>
      <c r="S12" s="25">
        <f t="shared" si="1"/>
        <v>0</v>
      </c>
      <c r="T12" s="25">
        <f t="shared" si="1"/>
        <v>0</v>
      </c>
      <c r="U12" s="25">
        <f t="shared" si="1"/>
        <v>0</v>
      </c>
      <c r="V12" s="25">
        <f t="shared" si="1"/>
        <v>0</v>
      </c>
      <c r="W12" s="25">
        <f t="shared" si="1"/>
        <v>0</v>
      </c>
      <c r="X12" s="25">
        <f t="shared" si="1"/>
        <v>0</v>
      </c>
      <c r="Y12" s="25">
        <f t="shared" si="1"/>
        <v>0</v>
      </c>
      <c r="Z12" s="25">
        <f t="shared" si="1"/>
        <v>0</v>
      </c>
      <c r="AA12" s="25">
        <f t="shared" si="1"/>
        <v>0</v>
      </c>
      <c r="AB12" s="25">
        <f t="shared" si="1"/>
        <v>0</v>
      </c>
      <c r="AC12" s="25">
        <f t="shared" si="1"/>
        <v>0</v>
      </c>
      <c r="AD12" s="25">
        <f t="shared" si="1"/>
        <v>0</v>
      </c>
      <c r="AE12" s="25">
        <f t="shared" si="1"/>
        <v>0</v>
      </c>
      <c r="AF12" s="25">
        <f t="shared" si="1"/>
        <v>0</v>
      </c>
      <c r="AG12" s="25">
        <f t="shared" si="1"/>
        <v>0</v>
      </c>
      <c r="AH12" s="25">
        <f t="shared" si="1"/>
        <v>0</v>
      </c>
      <c r="AI12" s="25">
        <f t="shared" si="1"/>
        <v>0</v>
      </c>
      <c r="AJ12" s="25">
        <f t="shared" si="1"/>
        <v>0</v>
      </c>
      <c r="AK12" s="25">
        <f t="shared" si="1"/>
        <v>0</v>
      </c>
      <c r="AL12" s="25">
        <f t="shared" si="1"/>
        <v>0</v>
      </c>
    </row>
    <row r="13" spans="1:38" x14ac:dyDescent="0.2">
      <c r="A13" s="3" t="s">
        <v>295</v>
      </c>
      <c r="B13" s="4"/>
      <c r="C13" s="4"/>
      <c r="D13" s="4"/>
      <c r="E13" s="4"/>
    </row>
    <row r="14" spans="1:38" x14ac:dyDescent="0.2">
      <c r="A14" s="6" t="s">
        <v>296</v>
      </c>
      <c r="B14" s="6" t="s">
        <v>180</v>
      </c>
      <c r="C14" s="28">
        <f>0</f>
        <v>0</v>
      </c>
      <c r="D14" s="28">
        <f t="shared" ref="D14:AL14" si="2">C18</f>
        <v>4866187.7078999998</v>
      </c>
      <c r="E14" s="28">
        <f t="shared" si="2"/>
        <v>4740333.3943499997</v>
      </c>
      <c r="F14" s="28">
        <f t="shared" si="2"/>
        <v>4622950.0777500002</v>
      </c>
      <c r="G14" s="28">
        <f t="shared" si="2"/>
        <v>4518015.8124000002</v>
      </c>
      <c r="H14" s="28">
        <f t="shared" si="2"/>
        <v>4429713.4091499997</v>
      </c>
      <c r="I14" s="28">
        <f t="shared" si="2"/>
        <v>4362409.9723749999</v>
      </c>
      <c r="J14" s="28">
        <f t="shared" si="2"/>
        <v>4283212.874175</v>
      </c>
      <c r="K14" s="28">
        <f t="shared" si="2"/>
        <v>4234451.1152999997</v>
      </c>
      <c r="L14" s="28">
        <f t="shared" si="2"/>
        <v>24221179.024225</v>
      </c>
      <c r="M14" s="28">
        <f t="shared" si="2"/>
        <v>24248704.886225</v>
      </c>
      <c r="N14" s="28">
        <f t="shared" si="2"/>
        <v>24322586.836399999</v>
      </c>
      <c r="O14" s="28">
        <f t="shared" si="2"/>
        <v>24448666.675724998</v>
      </c>
      <c r="P14" s="28">
        <f t="shared" si="2"/>
        <v>24633030.204999998</v>
      </c>
      <c r="Q14" s="28">
        <f t="shared" si="2"/>
        <v>24882048.690899998</v>
      </c>
      <c r="R14" s="28">
        <f t="shared" si="2"/>
        <v>25202352.216899998</v>
      </c>
      <c r="S14" s="28">
        <f t="shared" si="2"/>
        <v>25600841.932349999</v>
      </c>
      <c r="T14" s="28">
        <f t="shared" si="2"/>
        <v>26084671.413399998</v>
      </c>
      <c r="U14" s="28">
        <f t="shared" si="2"/>
        <v>26661271.569049999</v>
      </c>
      <c r="V14" s="28">
        <f t="shared" si="2"/>
        <v>27263332.542075001</v>
      </c>
      <c r="W14" s="28">
        <f t="shared" si="2"/>
        <v>27973780.602975</v>
      </c>
      <c r="X14" s="28">
        <f t="shared" si="2"/>
        <v>28800802.696024999</v>
      </c>
      <c r="Y14" s="28">
        <f t="shared" si="2"/>
        <v>29752832.807174999</v>
      </c>
      <c r="Z14" s="28">
        <f t="shared" si="2"/>
        <v>30838535.944049999</v>
      </c>
      <c r="AA14" s="28">
        <f t="shared" si="2"/>
        <v>32066813.502924997</v>
      </c>
      <c r="AB14" s="28">
        <f t="shared" si="2"/>
        <v>33446760.443599999</v>
      </c>
      <c r="AC14" s="28">
        <f t="shared" si="2"/>
        <v>34987701.568475001</v>
      </c>
      <c r="AD14" s="28">
        <f t="shared" si="2"/>
        <v>36699141.227425002</v>
      </c>
      <c r="AE14" s="28">
        <f t="shared" si="2"/>
        <v>38590779.877800003</v>
      </c>
      <c r="AF14" s="28">
        <f t="shared" si="2"/>
        <v>40672490.978375003</v>
      </c>
      <c r="AG14" s="28">
        <f t="shared" si="2"/>
        <v>42954333.826324999</v>
      </c>
      <c r="AH14" s="28">
        <f t="shared" si="2"/>
        <v>45446513.171175003</v>
      </c>
      <c r="AI14" s="28">
        <f t="shared" si="2"/>
        <v>48159380.858750001</v>
      </c>
      <c r="AJ14" s="28">
        <f t="shared" si="2"/>
        <v>51103432.288149998</v>
      </c>
      <c r="AK14" s="28">
        <f t="shared" si="2"/>
        <v>54289294.498724997</v>
      </c>
      <c r="AL14" s="28">
        <f t="shared" si="2"/>
        <v>57727718.904024996</v>
      </c>
    </row>
    <row r="15" spans="1:38" x14ac:dyDescent="0.2">
      <c r="A15" s="6" t="s">
        <v>297</v>
      </c>
      <c r="B15" s="6" t="s">
        <v>180</v>
      </c>
      <c r="C15" s="28">
        <f t="shared" ref="C15:AL15" si="3">C6+C12</f>
        <v>5006786.2379000001</v>
      </c>
      <c r="D15" s="28">
        <f t="shared" si="3"/>
        <v>20566.9686</v>
      </c>
      <c r="E15" s="28">
        <f t="shared" si="3"/>
        <v>41606.191200000001</v>
      </c>
      <c r="F15" s="28">
        <f t="shared" si="3"/>
        <v>70182.766199999998</v>
      </c>
      <c r="G15" s="28">
        <f t="shared" si="3"/>
        <v>106649.889</v>
      </c>
      <c r="H15" s="28">
        <f t="shared" si="3"/>
        <v>151331.00429999997</v>
      </c>
      <c r="I15" s="28">
        <f t="shared" si="3"/>
        <v>204642.48239999998</v>
      </c>
      <c r="J15" s="28">
        <f t="shared" si="3"/>
        <v>266967.2415</v>
      </c>
      <c r="K15" s="28">
        <f t="shared" si="3"/>
        <v>20338699.331900001</v>
      </c>
      <c r="L15" s="28">
        <f t="shared" si="3"/>
        <v>420277.41599999997</v>
      </c>
      <c r="M15" s="28">
        <f t="shared" si="3"/>
        <v>512136.42689999996</v>
      </c>
      <c r="N15" s="28">
        <f t="shared" si="3"/>
        <v>614759.63910000003</v>
      </c>
      <c r="O15" s="28">
        <f t="shared" si="3"/>
        <v>728570.82569999993</v>
      </c>
      <c r="P15" s="28">
        <f t="shared" si="3"/>
        <v>854053.26119999995</v>
      </c>
      <c r="Q15" s="28">
        <f t="shared" si="3"/>
        <v>991645.60800000001</v>
      </c>
      <c r="R15" s="28">
        <f t="shared" si="3"/>
        <v>1141808.8205999997</v>
      </c>
      <c r="S15" s="28">
        <f t="shared" si="3"/>
        <v>1304970.4013999999</v>
      </c>
      <c r="T15" s="28">
        <f t="shared" si="3"/>
        <v>1481595.0342000001</v>
      </c>
      <c r="U15" s="28">
        <f t="shared" si="3"/>
        <v>1672113.9506999999</v>
      </c>
      <c r="V15" s="28">
        <f t="shared" si="3"/>
        <v>1876921.2012</v>
      </c>
      <c r="W15" s="28">
        <f t="shared" si="3"/>
        <v>2096448.0174</v>
      </c>
      <c r="X15" s="28">
        <f t="shared" si="3"/>
        <v>2331095.9081999995</v>
      </c>
      <c r="Y15" s="28">
        <f t="shared" si="3"/>
        <v>2581244.0625</v>
      </c>
      <c r="Z15" s="28">
        <f t="shared" si="3"/>
        <v>2847275.3984999997</v>
      </c>
      <c r="AA15" s="28">
        <f t="shared" si="3"/>
        <v>3129502.2008999996</v>
      </c>
      <c r="AB15" s="28">
        <f t="shared" si="3"/>
        <v>3428292.5264999997</v>
      </c>
      <c r="AC15" s="28">
        <f t="shared" si="3"/>
        <v>3743932.6385999997</v>
      </c>
      <c r="AD15" s="28">
        <f t="shared" si="3"/>
        <v>4076731.1205000002</v>
      </c>
      <c r="AE15" s="28">
        <f t="shared" si="3"/>
        <v>4426959.3740999997</v>
      </c>
      <c r="AF15" s="28">
        <f t="shared" si="3"/>
        <v>4794903.6906000003</v>
      </c>
      <c r="AG15" s="28">
        <f t="shared" si="3"/>
        <v>5180790.8597999997</v>
      </c>
      <c r="AH15" s="28">
        <f t="shared" si="3"/>
        <v>5584843.9700999996</v>
      </c>
      <c r="AI15" s="28">
        <f t="shared" si="3"/>
        <v>6007278.6791999992</v>
      </c>
      <c r="AJ15" s="28">
        <f t="shared" si="3"/>
        <v>6448292.0540999994</v>
      </c>
      <c r="AK15" s="28">
        <f t="shared" si="3"/>
        <v>6908066.3004000001</v>
      </c>
      <c r="AL15" s="28">
        <f t="shared" si="3"/>
        <v>7386761.3037</v>
      </c>
    </row>
    <row r="16" spans="1:38" x14ac:dyDescent="0.2">
      <c r="A16" s="6" t="s">
        <v>298</v>
      </c>
      <c r="B16" s="6" t="s">
        <v>180</v>
      </c>
      <c r="C16" s="28">
        <f t="shared" ref="C16:AL16" si="4">C7</f>
        <v>140598.53</v>
      </c>
      <c r="D16" s="28">
        <f t="shared" si="4"/>
        <v>146421.28215000001</v>
      </c>
      <c r="E16" s="28">
        <f t="shared" si="4"/>
        <v>158989.50779999999</v>
      </c>
      <c r="F16" s="28">
        <f t="shared" si="4"/>
        <v>175117.03154999999</v>
      </c>
      <c r="G16" s="28">
        <f t="shared" si="4"/>
        <v>194952.29225</v>
      </c>
      <c r="H16" s="28">
        <f t="shared" si="4"/>
        <v>218634.44107500001</v>
      </c>
      <c r="I16" s="28">
        <f t="shared" si="4"/>
        <v>283839.58059999999</v>
      </c>
      <c r="J16" s="28">
        <f t="shared" si="4"/>
        <v>315729.000375</v>
      </c>
      <c r="K16" s="28">
        <f t="shared" si="4"/>
        <v>351971.42297499999</v>
      </c>
      <c r="L16" s="28">
        <f t="shared" si="4"/>
        <v>392751.554</v>
      </c>
      <c r="M16" s="28">
        <f t="shared" si="4"/>
        <v>438254.47672500001</v>
      </c>
      <c r="N16" s="28">
        <f t="shared" si="4"/>
        <v>488679.79977500002</v>
      </c>
      <c r="O16" s="28">
        <f t="shared" si="4"/>
        <v>544207.29642499995</v>
      </c>
      <c r="P16" s="28">
        <f t="shared" si="4"/>
        <v>605034.77529999998</v>
      </c>
      <c r="Q16" s="28">
        <f t="shared" si="4"/>
        <v>671342.08200000005</v>
      </c>
      <c r="R16" s="28">
        <f t="shared" si="4"/>
        <v>743319.10514999996</v>
      </c>
      <c r="S16" s="28">
        <f t="shared" si="4"/>
        <v>821140.92035000003</v>
      </c>
      <c r="T16" s="28">
        <f t="shared" si="4"/>
        <v>904994.87855000002</v>
      </c>
      <c r="U16" s="28">
        <f t="shared" si="4"/>
        <v>1070052.977675</v>
      </c>
      <c r="V16" s="28">
        <f t="shared" si="4"/>
        <v>1166473.1403000001</v>
      </c>
      <c r="W16" s="28">
        <f t="shared" si="4"/>
        <v>1269425.92435</v>
      </c>
      <c r="X16" s="28">
        <f t="shared" si="4"/>
        <v>1379065.7970499997</v>
      </c>
      <c r="Y16" s="28">
        <f t="shared" si="4"/>
        <v>1495540.9256250001</v>
      </c>
      <c r="Z16" s="28">
        <f t="shared" si="4"/>
        <v>1618997.8396249998</v>
      </c>
      <c r="AA16" s="28">
        <f t="shared" si="4"/>
        <v>1749555.2602249999</v>
      </c>
      <c r="AB16" s="28">
        <f t="shared" si="4"/>
        <v>1887351.4016249999</v>
      </c>
      <c r="AC16" s="28">
        <f t="shared" si="4"/>
        <v>2032492.9796500001</v>
      </c>
      <c r="AD16" s="28">
        <f t="shared" si="4"/>
        <v>2185092.470125</v>
      </c>
      <c r="AE16" s="28">
        <f t="shared" si="4"/>
        <v>2345248.2735249996</v>
      </c>
      <c r="AF16" s="28">
        <f t="shared" si="4"/>
        <v>2513060.84265</v>
      </c>
      <c r="AG16" s="28">
        <f t="shared" si="4"/>
        <v>2688611.5149499997</v>
      </c>
      <c r="AH16" s="28">
        <f t="shared" si="4"/>
        <v>2871976.2825250002</v>
      </c>
      <c r="AI16" s="28">
        <f t="shared" si="4"/>
        <v>3063227.2497999999</v>
      </c>
      <c r="AJ16" s="28">
        <f t="shared" si="4"/>
        <v>3262429.8435249999</v>
      </c>
      <c r="AK16" s="28">
        <f t="shared" si="4"/>
        <v>3469641.8951000003</v>
      </c>
      <c r="AL16" s="28">
        <f t="shared" si="4"/>
        <v>3684915.4759249999</v>
      </c>
    </row>
    <row r="17" spans="1:38" x14ac:dyDescent="0.2">
      <c r="A17" s="6" t="s">
        <v>299</v>
      </c>
      <c r="B17" s="6" t="s">
        <v>180</v>
      </c>
      <c r="C17" s="38">
        <f t="shared" ref="C17:AL17" si="5">C15-C16</f>
        <v>4866187.7078999998</v>
      </c>
      <c r="D17" s="38">
        <f t="shared" si="5"/>
        <v>-125854.31355000002</v>
      </c>
      <c r="E17" s="38">
        <f t="shared" si="5"/>
        <v>-117383.31659999999</v>
      </c>
      <c r="F17" s="38">
        <f t="shared" si="5"/>
        <v>-104934.26534999999</v>
      </c>
      <c r="G17" s="38">
        <f t="shared" si="5"/>
        <v>-88302.403250000003</v>
      </c>
      <c r="H17" s="38">
        <f t="shared" si="5"/>
        <v>-67303.436775000038</v>
      </c>
      <c r="I17" s="38">
        <f t="shared" si="5"/>
        <v>-79197.098200000008</v>
      </c>
      <c r="J17" s="38">
        <f t="shared" si="5"/>
        <v>-48761.758875</v>
      </c>
      <c r="K17" s="38">
        <f t="shared" si="5"/>
        <v>19986727.908925001</v>
      </c>
      <c r="L17" s="38">
        <f t="shared" si="5"/>
        <v>27525.861999999965</v>
      </c>
      <c r="M17" s="38">
        <f t="shared" si="5"/>
        <v>73881.950174999947</v>
      </c>
      <c r="N17" s="38">
        <f t="shared" si="5"/>
        <v>126079.83932500001</v>
      </c>
      <c r="O17" s="38">
        <f t="shared" si="5"/>
        <v>184363.52927499998</v>
      </c>
      <c r="P17" s="38">
        <f t="shared" si="5"/>
        <v>249018.48589999997</v>
      </c>
      <c r="Q17" s="38">
        <f t="shared" si="5"/>
        <v>320303.52599999995</v>
      </c>
      <c r="R17" s="38">
        <f t="shared" si="5"/>
        <v>398489.71544999979</v>
      </c>
      <c r="S17" s="38">
        <f t="shared" si="5"/>
        <v>483829.48104999983</v>
      </c>
      <c r="T17" s="38">
        <f t="shared" si="5"/>
        <v>576600.15565000009</v>
      </c>
      <c r="U17" s="38">
        <f t="shared" si="5"/>
        <v>602060.97302499996</v>
      </c>
      <c r="V17" s="38">
        <f t="shared" si="5"/>
        <v>710448.06089999992</v>
      </c>
      <c r="W17" s="38">
        <f t="shared" si="5"/>
        <v>827022.09305000002</v>
      </c>
      <c r="X17" s="38">
        <f t="shared" si="5"/>
        <v>952030.11114999978</v>
      </c>
      <c r="Y17" s="38">
        <f t="shared" si="5"/>
        <v>1085703.1368749999</v>
      </c>
      <c r="Z17" s="38">
        <f t="shared" si="5"/>
        <v>1228277.5588749999</v>
      </c>
      <c r="AA17" s="38">
        <f t="shared" si="5"/>
        <v>1379946.9406749997</v>
      </c>
      <c r="AB17" s="38">
        <f t="shared" si="5"/>
        <v>1540941.1248749997</v>
      </c>
      <c r="AC17" s="38">
        <f t="shared" si="5"/>
        <v>1711439.6589499996</v>
      </c>
      <c r="AD17" s="38">
        <f t="shared" si="5"/>
        <v>1891638.6503750002</v>
      </c>
      <c r="AE17" s="38">
        <f t="shared" si="5"/>
        <v>2081711.100575</v>
      </c>
      <c r="AF17" s="38">
        <f t="shared" si="5"/>
        <v>2281842.8479500003</v>
      </c>
      <c r="AG17" s="38">
        <f t="shared" si="5"/>
        <v>2492179.34485</v>
      </c>
      <c r="AH17" s="38">
        <f t="shared" si="5"/>
        <v>2712867.6875749994</v>
      </c>
      <c r="AI17" s="38">
        <f t="shared" si="5"/>
        <v>2944051.4293999993</v>
      </c>
      <c r="AJ17" s="38">
        <f t="shared" si="5"/>
        <v>3185862.2105749995</v>
      </c>
      <c r="AK17" s="38">
        <f t="shared" si="5"/>
        <v>3438424.4052999998</v>
      </c>
      <c r="AL17" s="38">
        <f t="shared" si="5"/>
        <v>3701845.8277750001</v>
      </c>
    </row>
    <row r="18" spans="1:38" x14ac:dyDescent="0.2">
      <c r="A18" s="17" t="s">
        <v>300</v>
      </c>
      <c r="B18" s="17" t="s">
        <v>180</v>
      </c>
      <c r="C18" s="27">
        <f t="shared" ref="C18:AL18" si="6">C14+C17</f>
        <v>4866187.7078999998</v>
      </c>
      <c r="D18" s="27">
        <f t="shared" si="6"/>
        <v>4740333.3943499997</v>
      </c>
      <c r="E18" s="27">
        <f t="shared" si="6"/>
        <v>4622950.0777500002</v>
      </c>
      <c r="F18" s="27">
        <f t="shared" si="6"/>
        <v>4518015.8124000002</v>
      </c>
      <c r="G18" s="27">
        <f t="shared" si="6"/>
        <v>4429713.4091499997</v>
      </c>
      <c r="H18" s="27">
        <f t="shared" si="6"/>
        <v>4362409.9723749999</v>
      </c>
      <c r="I18" s="27">
        <f t="shared" si="6"/>
        <v>4283212.874175</v>
      </c>
      <c r="J18" s="27">
        <f t="shared" si="6"/>
        <v>4234451.1152999997</v>
      </c>
      <c r="K18" s="27">
        <f t="shared" si="6"/>
        <v>24221179.024225</v>
      </c>
      <c r="L18" s="27">
        <f t="shared" si="6"/>
        <v>24248704.886225</v>
      </c>
      <c r="M18" s="27">
        <f t="shared" si="6"/>
        <v>24322586.836399999</v>
      </c>
      <c r="N18" s="27">
        <f t="shared" si="6"/>
        <v>24448666.675724998</v>
      </c>
      <c r="O18" s="27">
        <f t="shared" si="6"/>
        <v>24633030.204999998</v>
      </c>
      <c r="P18" s="27">
        <f t="shared" si="6"/>
        <v>24882048.690899998</v>
      </c>
      <c r="Q18" s="27">
        <f t="shared" si="6"/>
        <v>25202352.216899998</v>
      </c>
      <c r="R18" s="27">
        <f t="shared" si="6"/>
        <v>25600841.932349999</v>
      </c>
      <c r="S18" s="27">
        <f t="shared" si="6"/>
        <v>26084671.413399998</v>
      </c>
      <c r="T18" s="27">
        <f t="shared" si="6"/>
        <v>26661271.569049999</v>
      </c>
      <c r="U18" s="27">
        <f t="shared" si="6"/>
        <v>27263332.542075001</v>
      </c>
      <c r="V18" s="27">
        <f t="shared" si="6"/>
        <v>27973780.602975</v>
      </c>
      <c r="W18" s="27">
        <f t="shared" si="6"/>
        <v>28800802.696024999</v>
      </c>
      <c r="X18" s="27">
        <f t="shared" si="6"/>
        <v>29752832.807174999</v>
      </c>
      <c r="Y18" s="27">
        <f t="shared" si="6"/>
        <v>30838535.944049999</v>
      </c>
      <c r="Z18" s="27">
        <f t="shared" si="6"/>
        <v>32066813.502924997</v>
      </c>
      <c r="AA18" s="27">
        <f t="shared" si="6"/>
        <v>33446760.443599999</v>
      </c>
      <c r="AB18" s="27">
        <f t="shared" si="6"/>
        <v>34987701.568475001</v>
      </c>
      <c r="AC18" s="27">
        <f t="shared" si="6"/>
        <v>36699141.227425002</v>
      </c>
      <c r="AD18" s="27">
        <f t="shared" si="6"/>
        <v>38590779.877800003</v>
      </c>
      <c r="AE18" s="27">
        <f t="shared" si="6"/>
        <v>40672490.978375003</v>
      </c>
      <c r="AF18" s="27">
        <f t="shared" si="6"/>
        <v>42954333.826324999</v>
      </c>
      <c r="AG18" s="27">
        <f t="shared" si="6"/>
        <v>45446513.171175003</v>
      </c>
      <c r="AH18" s="27">
        <f t="shared" si="6"/>
        <v>48159380.858750001</v>
      </c>
      <c r="AI18" s="27">
        <f t="shared" si="6"/>
        <v>51103432.288149998</v>
      </c>
      <c r="AJ18" s="27">
        <f t="shared" si="6"/>
        <v>54289294.498724997</v>
      </c>
      <c r="AK18" s="27">
        <f t="shared" si="6"/>
        <v>57727718.904024996</v>
      </c>
      <c r="AL18" s="27">
        <f t="shared" si="6"/>
        <v>61429564.731799997</v>
      </c>
    </row>
    <row r="19" spans="1:38" x14ac:dyDescent="0.2">
      <c r="A19" s="3" t="s">
        <v>301</v>
      </c>
      <c r="B19" s="4"/>
      <c r="C19" s="4"/>
      <c r="D19" s="4"/>
      <c r="E19" s="4"/>
    </row>
    <row r="20" spans="1:38" x14ac:dyDescent="0.2">
      <c r="A20" s="6" t="s">
        <v>302</v>
      </c>
      <c r="B20" s="6" t="s">
        <v>152</v>
      </c>
      <c r="C20" s="31">
        <f t="shared" ref="C20:AL20" si="7">IF(C8&gt;=0, 999, -1*C18/C8)</f>
        <v>36.365775008647354</v>
      </c>
      <c r="D20" s="31">
        <f t="shared" si="7"/>
        <v>37.665243730138315</v>
      </c>
      <c r="E20" s="31">
        <f t="shared" si="7"/>
        <v>39.383365640479788</v>
      </c>
      <c r="F20" s="31">
        <f t="shared" si="7"/>
        <v>43.055676783274883</v>
      </c>
      <c r="G20" s="31">
        <f t="shared" si="7"/>
        <v>50.165264433502266</v>
      </c>
      <c r="H20" s="31">
        <f t="shared" si="7"/>
        <v>64.817046222451211</v>
      </c>
      <c r="I20" s="31">
        <f t="shared" si="7"/>
        <v>54.082952172798166</v>
      </c>
      <c r="J20" s="31">
        <f t="shared" si="7"/>
        <v>86.839589321520336</v>
      </c>
      <c r="K20" s="31">
        <f t="shared" si="7"/>
        <v>1824.9708269293951</v>
      </c>
      <c r="L20" s="31">
        <f t="shared" si="7"/>
        <v>999</v>
      </c>
      <c r="M20" s="31">
        <f t="shared" si="7"/>
        <v>999</v>
      </c>
      <c r="N20" s="31">
        <f t="shared" si="7"/>
        <v>999</v>
      </c>
      <c r="O20" s="31">
        <f t="shared" si="7"/>
        <v>999</v>
      </c>
      <c r="P20" s="31">
        <f t="shared" si="7"/>
        <v>999</v>
      </c>
      <c r="Q20" s="31">
        <f t="shared" si="7"/>
        <v>999</v>
      </c>
      <c r="R20" s="31">
        <f t="shared" si="7"/>
        <v>999</v>
      </c>
      <c r="S20" s="31">
        <f t="shared" si="7"/>
        <v>999</v>
      </c>
      <c r="T20" s="31">
        <f t="shared" si="7"/>
        <v>999</v>
      </c>
      <c r="U20" s="31">
        <f t="shared" si="7"/>
        <v>999</v>
      </c>
      <c r="V20" s="31">
        <f t="shared" si="7"/>
        <v>999</v>
      </c>
      <c r="W20" s="31">
        <f t="shared" si="7"/>
        <v>999</v>
      </c>
      <c r="X20" s="31">
        <f t="shared" si="7"/>
        <v>999</v>
      </c>
      <c r="Y20" s="31">
        <f t="shared" si="7"/>
        <v>999</v>
      </c>
      <c r="Z20" s="31">
        <f t="shared" si="7"/>
        <v>999</v>
      </c>
      <c r="AA20" s="31">
        <f t="shared" si="7"/>
        <v>999</v>
      </c>
      <c r="AB20" s="31">
        <f t="shared" si="7"/>
        <v>999</v>
      </c>
      <c r="AC20" s="31">
        <f t="shared" si="7"/>
        <v>999</v>
      </c>
      <c r="AD20" s="31">
        <f t="shared" si="7"/>
        <v>999</v>
      </c>
      <c r="AE20" s="31">
        <f t="shared" si="7"/>
        <v>999</v>
      </c>
      <c r="AF20" s="31">
        <f t="shared" si="7"/>
        <v>999</v>
      </c>
      <c r="AG20" s="31">
        <f t="shared" si="7"/>
        <v>999</v>
      </c>
      <c r="AH20" s="31">
        <f t="shared" si="7"/>
        <v>999</v>
      </c>
      <c r="AI20" s="31">
        <f t="shared" si="7"/>
        <v>999</v>
      </c>
      <c r="AJ20" s="31">
        <f t="shared" si="7"/>
        <v>999</v>
      </c>
      <c r="AK20" s="31">
        <f t="shared" si="7"/>
        <v>999</v>
      </c>
      <c r="AL20" s="31">
        <f t="shared" si="7"/>
        <v>999</v>
      </c>
    </row>
    <row r="21" spans="1:38" x14ac:dyDescent="0.2">
      <c r="A21" s="17" t="s">
        <v>303</v>
      </c>
      <c r="B21" s="17" t="s">
        <v>180</v>
      </c>
      <c r="C21" s="27">
        <f>C8</f>
        <v>-133812.29209999999</v>
      </c>
      <c r="D21" s="27">
        <f t="shared" ref="D21:AL21" si="8">C21+D8</f>
        <v>-259666.60565000001</v>
      </c>
      <c r="E21" s="27">
        <f t="shared" si="8"/>
        <v>-377049.92225</v>
      </c>
      <c r="F21" s="27">
        <f t="shared" si="8"/>
        <v>-481984.1876</v>
      </c>
      <c r="G21" s="27">
        <f t="shared" si="8"/>
        <v>-570286.59085000004</v>
      </c>
      <c r="H21" s="27">
        <f t="shared" si="8"/>
        <v>-637590.0276250001</v>
      </c>
      <c r="I21" s="27">
        <f t="shared" si="8"/>
        <v>-716787.12582500011</v>
      </c>
      <c r="J21" s="27">
        <f t="shared" si="8"/>
        <v>-765548.88470000005</v>
      </c>
      <c r="K21" s="27">
        <f t="shared" si="8"/>
        <v>-778820.97577500006</v>
      </c>
      <c r="L21" s="27">
        <f t="shared" si="8"/>
        <v>-751295.11377500009</v>
      </c>
      <c r="M21" s="27">
        <f t="shared" si="8"/>
        <v>-677413.16360000009</v>
      </c>
      <c r="N21" s="27">
        <f t="shared" si="8"/>
        <v>-551333.32427500002</v>
      </c>
      <c r="O21" s="27">
        <f t="shared" si="8"/>
        <v>-366969.79500000004</v>
      </c>
      <c r="P21" s="27">
        <f t="shared" si="8"/>
        <v>-117951.30910000007</v>
      </c>
      <c r="Q21" s="27">
        <f t="shared" si="8"/>
        <v>202352.21689999988</v>
      </c>
      <c r="R21" s="27">
        <f t="shared" si="8"/>
        <v>600841.93234999967</v>
      </c>
      <c r="S21" s="27">
        <f t="shared" si="8"/>
        <v>1084671.4133999995</v>
      </c>
      <c r="T21" s="27">
        <f t="shared" si="8"/>
        <v>1661271.5690499996</v>
      </c>
      <c r="U21" s="27">
        <f t="shared" si="8"/>
        <v>2263332.5420749998</v>
      </c>
      <c r="V21" s="27">
        <f t="shared" si="8"/>
        <v>2973780.6029749997</v>
      </c>
      <c r="W21" s="27">
        <f t="shared" si="8"/>
        <v>3800802.696025</v>
      </c>
      <c r="X21" s="27">
        <f t="shared" si="8"/>
        <v>4752832.8071749993</v>
      </c>
      <c r="Y21" s="27">
        <f t="shared" si="8"/>
        <v>5838535.9440499991</v>
      </c>
      <c r="Z21" s="27">
        <f t="shared" si="8"/>
        <v>7066813.5029249992</v>
      </c>
      <c r="AA21" s="27">
        <f t="shared" si="8"/>
        <v>8446760.443599999</v>
      </c>
      <c r="AB21" s="27">
        <f t="shared" si="8"/>
        <v>9987701.5684749987</v>
      </c>
      <c r="AC21" s="27">
        <f t="shared" si="8"/>
        <v>11699141.227424998</v>
      </c>
      <c r="AD21" s="27">
        <f t="shared" si="8"/>
        <v>13590779.877799999</v>
      </c>
      <c r="AE21" s="27">
        <f t="shared" si="8"/>
        <v>15672490.978374999</v>
      </c>
      <c r="AF21" s="27">
        <f t="shared" si="8"/>
        <v>17954333.826324999</v>
      </c>
      <c r="AG21" s="27">
        <f t="shared" si="8"/>
        <v>20446513.171174999</v>
      </c>
      <c r="AH21" s="27">
        <f t="shared" si="8"/>
        <v>23159380.858750001</v>
      </c>
      <c r="AI21" s="27">
        <f t="shared" si="8"/>
        <v>26103432.288150001</v>
      </c>
      <c r="AJ21" s="27">
        <f t="shared" si="8"/>
        <v>29289294.498725001</v>
      </c>
      <c r="AK21" s="27">
        <f t="shared" si="8"/>
        <v>32727718.904025</v>
      </c>
      <c r="AL21" s="27">
        <f t="shared" si="8"/>
        <v>36429564.731799997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F0FF"/>
  </sheetPr>
  <dimension ref="A1:AK11"/>
  <sheetViews>
    <sheetView workbookViewId="0"/>
  </sheetViews>
  <sheetFormatPr baseColWidth="10" defaultColWidth="8.83203125" defaultRowHeight="15" x14ac:dyDescent="0.2"/>
  <cols>
    <col min="1" max="1" width="15" customWidth="1"/>
    <col min="2" max="37" width="14" customWidth="1"/>
  </cols>
  <sheetData>
    <row r="1" spans="1:37" ht="18" x14ac:dyDescent="0.2">
      <c r="A1" s="1" t="s">
        <v>304</v>
      </c>
    </row>
    <row r="3" spans="1:37" x14ac:dyDescent="0.2">
      <c r="A3" s="17" t="s">
        <v>305</v>
      </c>
      <c r="B3" s="6" t="s">
        <v>114</v>
      </c>
      <c r="C3" s="6" t="s">
        <v>115</v>
      </c>
      <c r="D3" s="6" t="s">
        <v>116</v>
      </c>
      <c r="E3" s="6" t="s">
        <v>117</v>
      </c>
      <c r="F3" s="6" t="s">
        <v>118</v>
      </c>
      <c r="G3" s="6" t="s">
        <v>119</v>
      </c>
      <c r="H3" s="6" t="s">
        <v>120</v>
      </c>
      <c r="I3" s="6" t="s">
        <v>121</v>
      </c>
      <c r="J3" s="6" t="s">
        <v>122</v>
      </c>
      <c r="K3" s="6" t="s">
        <v>123</v>
      </c>
      <c r="L3" s="6" t="s">
        <v>124</v>
      </c>
      <c r="M3" s="6" t="s">
        <v>125</v>
      </c>
      <c r="N3" s="6" t="s">
        <v>126</v>
      </c>
      <c r="O3" s="6" t="s">
        <v>127</v>
      </c>
      <c r="P3" s="6" t="s">
        <v>128</v>
      </c>
      <c r="Q3" s="6" t="s">
        <v>129</v>
      </c>
      <c r="R3" s="6" t="s">
        <v>130</v>
      </c>
      <c r="S3" s="6" t="s">
        <v>131</v>
      </c>
      <c r="T3" s="6" t="s">
        <v>132</v>
      </c>
      <c r="U3" s="6" t="s">
        <v>133</v>
      </c>
      <c r="V3" s="6" t="s">
        <v>134</v>
      </c>
      <c r="W3" s="6" t="s">
        <v>135</v>
      </c>
      <c r="X3" s="6" t="s">
        <v>136</v>
      </c>
      <c r="Y3" s="6" t="s">
        <v>137</v>
      </c>
      <c r="Z3" s="6" t="s">
        <v>138</v>
      </c>
      <c r="AA3" s="6" t="s">
        <v>139</v>
      </c>
      <c r="AB3" s="6" t="s">
        <v>140</v>
      </c>
      <c r="AC3" s="6" t="s">
        <v>141</v>
      </c>
      <c r="AD3" s="6" t="s">
        <v>142</v>
      </c>
      <c r="AE3" s="6" t="s">
        <v>143</v>
      </c>
      <c r="AF3" s="6" t="s">
        <v>144</v>
      </c>
      <c r="AG3" s="6" t="s">
        <v>145</v>
      </c>
      <c r="AH3" s="6" t="s">
        <v>146</v>
      </c>
      <c r="AI3" s="6" t="s">
        <v>147</v>
      </c>
      <c r="AJ3" s="6" t="s">
        <v>148</v>
      </c>
      <c r="AK3" s="6" t="s">
        <v>149</v>
      </c>
    </row>
    <row r="4" spans="1:37" x14ac:dyDescent="0.2">
      <c r="A4" s="6" t="s">
        <v>172</v>
      </c>
      <c r="B4" s="21">
        <f>'User Growth'!C28</f>
        <v>15606</v>
      </c>
      <c r="C4" s="21">
        <f>'User Growth'!D28</f>
        <v>32768</v>
      </c>
      <c r="D4" s="21">
        <f>'User Growth'!E28</f>
        <v>51602</v>
      </c>
      <c r="E4" s="21">
        <f>'User Growth'!F28</f>
        <v>72218</v>
      </c>
      <c r="F4" s="21">
        <f>'User Growth'!G28</f>
        <v>94724</v>
      </c>
      <c r="G4" s="21">
        <f>'User Growth'!H28</f>
        <v>119228</v>
      </c>
      <c r="H4" s="21">
        <f>'User Growth'!I28</f>
        <v>145832</v>
      </c>
      <c r="I4" s="21">
        <f>'User Growth'!J28</f>
        <v>174633</v>
      </c>
      <c r="J4" s="21">
        <f>'User Growth'!K28</f>
        <v>205723</v>
      </c>
      <c r="K4" s="21">
        <f>'User Growth'!L28</f>
        <v>239190</v>
      </c>
      <c r="L4" s="21">
        <f>'User Growth'!M28</f>
        <v>275119</v>
      </c>
      <c r="M4" s="21">
        <f>'User Growth'!N28</f>
        <v>313588</v>
      </c>
      <c r="N4" s="21">
        <f>'User Growth'!O28</f>
        <v>354668</v>
      </c>
      <c r="O4" s="21">
        <f>'User Growth'!P28</f>
        <v>398427</v>
      </c>
      <c r="P4" s="21">
        <f>'User Growth'!Q28</f>
        <v>444926</v>
      </c>
      <c r="Q4" s="21">
        <f>'User Growth'!R28</f>
        <v>494220</v>
      </c>
      <c r="R4" s="21">
        <f>'User Growth'!S28</f>
        <v>546359</v>
      </c>
      <c r="S4" s="21">
        <f>'User Growth'!T28</f>
        <v>601389</v>
      </c>
      <c r="T4" s="21">
        <f>'User Growth'!U28</f>
        <v>659348</v>
      </c>
      <c r="U4" s="21">
        <f>'User Growth'!V28</f>
        <v>720268</v>
      </c>
      <c r="V4" s="21">
        <f>'User Growth'!W28</f>
        <v>784179</v>
      </c>
      <c r="W4" s="21">
        <f>'User Growth'!X28</f>
        <v>851104</v>
      </c>
      <c r="X4" s="21">
        <f>'User Growth'!Y28</f>
        <v>921062</v>
      </c>
      <c r="Y4" s="21">
        <f>'User Growth'!Z28</f>
        <v>994068</v>
      </c>
      <c r="Z4" s="21">
        <f>'User Growth'!AA28</f>
        <v>1070132</v>
      </c>
      <c r="AA4" s="21">
        <f>'User Growth'!AB28</f>
        <v>1149264</v>
      </c>
      <c r="AB4" s="21">
        <f>'User Growth'!AC28</f>
        <v>1231464</v>
      </c>
      <c r="AC4" s="21">
        <f>'User Growth'!AD28</f>
        <v>1316733</v>
      </c>
      <c r="AD4" s="21">
        <f>'User Growth'!AE28</f>
        <v>1405066</v>
      </c>
      <c r="AE4" s="21">
        <f>'User Growth'!AF28</f>
        <v>1496459</v>
      </c>
      <c r="AF4" s="21">
        <f>'User Growth'!AG28</f>
        <v>1590905</v>
      </c>
      <c r="AG4" s="21">
        <f>'User Growth'!AH28</f>
        <v>1688393</v>
      </c>
      <c r="AH4" s="21">
        <f>'User Growth'!AI28</f>
        <v>1788911</v>
      </c>
      <c r="AI4" s="21">
        <f>'User Growth'!AJ28</f>
        <v>1892446</v>
      </c>
      <c r="AJ4" s="21">
        <f>'User Growth'!AK28</f>
        <v>1998984</v>
      </c>
      <c r="AK4" s="21">
        <f>'User Growth'!AL28</f>
        <v>2108510</v>
      </c>
    </row>
    <row r="5" spans="1:37" x14ac:dyDescent="0.2">
      <c r="A5" s="6" t="s">
        <v>306</v>
      </c>
      <c r="B5" s="21">
        <f>'User Growth'!C29</f>
        <v>697</v>
      </c>
      <c r="C5" s="21">
        <f>'User Growth'!D29</f>
        <v>2098</v>
      </c>
      <c r="D5" s="21">
        <f>'User Growth'!E29</f>
        <v>4216</v>
      </c>
      <c r="E5" s="21">
        <f>'User Growth'!F29</f>
        <v>7066</v>
      </c>
      <c r="F5" s="21">
        <f>'User Growth'!G29</f>
        <v>10670</v>
      </c>
      <c r="G5" s="21">
        <f>'User Growth'!H29</f>
        <v>15049</v>
      </c>
      <c r="H5" s="21">
        <f>'User Growth'!I29</f>
        <v>20232</v>
      </c>
      <c r="I5" s="21">
        <f>'User Growth'!J29</f>
        <v>26245</v>
      </c>
      <c r="J5" s="21">
        <f>'User Growth'!K29</f>
        <v>33117</v>
      </c>
      <c r="K5" s="21">
        <f>'User Growth'!L29</f>
        <v>40880</v>
      </c>
      <c r="L5" s="21">
        <f>'User Growth'!M29</f>
        <v>49567</v>
      </c>
      <c r="M5" s="21">
        <f>'User Growth'!N29</f>
        <v>59213</v>
      </c>
      <c r="N5" s="21">
        <f>'User Growth'!O29</f>
        <v>69851</v>
      </c>
      <c r="O5" s="21">
        <f>'User Growth'!P29</f>
        <v>81516</v>
      </c>
      <c r="P5" s="21">
        <f>'User Growth'!Q29</f>
        <v>94240</v>
      </c>
      <c r="Q5" s="21">
        <f>'User Growth'!R29</f>
        <v>108058</v>
      </c>
      <c r="R5" s="21">
        <f>'User Growth'!S29</f>
        <v>123002</v>
      </c>
      <c r="S5" s="21">
        <f>'User Growth'!T29</f>
        <v>139106</v>
      </c>
      <c r="T5" s="21">
        <f>'User Growth'!U29</f>
        <v>156401</v>
      </c>
      <c r="U5" s="21">
        <f>'User Growth'!V29</f>
        <v>174916</v>
      </c>
      <c r="V5" s="21">
        <f>'User Growth'!W29</f>
        <v>194682</v>
      </c>
      <c r="W5" s="21">
        <f>'User Growth'!X29</f>
        <v>215726</v>
      </c>
      <c r="X5" s="21">
        <f>'User Growth'!Y29</f>
        <v>238075</v>
      </c>
      <c r="Y5" s="21">
        <f>'User Growth'!Z29</f>
        <v>261755</v>
      </c>
      <c r="Z5" s="21">
        <f>'User Growth'!AA29</f>
        <v>286787</v>
      </c>
      <c r="AA5" s="21">
        <f>'User Growth'!AB29</f>
        <v>313195</v>
      </c>
      <c r="AB5" s="21">
        <f>'User Growth'!AC29</f>
        <v>340998</v>
      </c>
      <c r="AC5" s="21">
        <f>'User Growth'!AD29</f>
        <v>370215</v>
      </c>
      <c r="AD5" s="21">
        <f>'User Growth'!AE29</f>
        <v>400863</v>
      </c>
      <c r="AE5" s="21">
        <f>'User Growth'!AF29</f>
        <v>432958</v>
      </c>
      <c r="AF5" s="21">
        <f>'User Growth'!AG29</f>
        <v>466514</v>
      </c>
      <c r="AG5" s="21">
        <f>'User Growth'!AH29</f>
        <v>501543</v>
      </c>
      <c r="AH5" s="21">
        <f>'User Growth'!AI29</f>
        <v>538056</v>
      </c>
      <c r="AI5" s="21">
        <f>'User Growth'!AJ29</f>
        <v>576063</v>
      </c>
      <c r="AJ5" s="21">
        <f>'User Growth'!AK29</f>
        <v>615572</v>
      </c>
      <c r="AK5" s="21">
        <f>'User Growth'!AL29</f>
        <v>656591</v>
      </c>
    </row>
    <row r="6" spans="1:37" x14ac:dyDescent="0.2">
      <c r="A6" s="6" t="s">
        <v>307</v>
      </c>
      <c r="B6" s="24">
        <f>Revenue!C8</f>
        <v>6786.2379000000001</v>
      </c>
      <c r="C6" s="24">
        <f>Revenue!D8</f>
        <v>20566.9686</v>
      </c>
      <c r="D6" s="24">
        <f>Revenue!E8</f>
        <v>41606.191200000001</v>
      </c>
      <c r="E6" s="24">
        <f>Revenue!F8</f>
        <v>70182.766199999998</v>
      </c>
      <c r="F6" s="24">
        <f>Revenue!G8</f>
        <v>106649.889</v>
      </c>
      <c r="G6" s="24">
        <f>Revenue!H8</f>
        <v>151331.00429999997</v>
      </c>
      <c r="H6" s="24">
        <f>Revenue!I8</f>
        <v>204642.48239999998</v>
      </c>
      <c r="I6" s="24">
        <f>Revenue!J8</f>
        <v>266967.2415</v>
      </c>
      <c r="J6" s="24">
        <f>Revenue!K8</f>
        <v>338699.33189999999</v>
      </c>
      <c r="K6" s="24">
        <f>Revenue!L8</f>
        <v>420277.41599999997</v>
      </c>
      <c r="L6" s="24">
        <f>Revenue!M8</f>
        <v>512136.42689999996</v>
      </c>
      <c r="M6" s="24">
        <f>Revenue!N8</f>
        <v>614759.63910000003</v>
      </c>
      <c r="N6" s="24">
        <f>Revenue!O8</f>
        <v>728570.82569999993</v>
      </c>
      <c r="O6" s="24">
        <f>Revenue!P8</f>
        <v>854053.26119999995</v>
      </c>
      <c r="P6" s="24">
        <f>Revenue!Q8</f>
        <v>991645.60800000001</v>
      </c>
      <c r="Q6" s="24">
        <f>Revenue!R8</f>
        <v>1141808.8205999997</v>
      </c>
      <c r="R6" s="24">
        <f>Revenue!S8</f>
        <v>1304970.4013999999</v>
      </c>
      <c r="S6" s="24">
        <f>Revenue!T8</f>
        <v>1481595.0342000001</v>
      </c>
      <c r="T6" s="24">
        <f>Revenue!U8</f>
        <v>1672113.9506999999</v>
      </c>
      <c r="U6" s="24">
        <f>Revenue!V8</f>
        <v>1876921.2012</v>
      </c>
      <c r="V6" s="24">
        <f>Revenue!W8</f>
        <v>2096448.0174</v>
      </c>
      <c r="W6" s="24">
        <f>Revenue!X8</f>
        <v>2331095.9081999995</v>
      </c>
      <c r="X6" s="24">
        <f>Revenue!Y8</f>
        <v>2581244.0625</v>
      </c>
      <c r="Y6" s="24">
        <f>Revenue!Z8</f>
        <v>2847275.3984999997</v>
      </c>
      <c r="Z6" s="24">
        <f>Revenue!AA8</f>
        <v>3129502.2008999996</v>
      </c>
      <c r="AA6" s="24">
        <f>Revenue!AB8</f>
        <v>3428292.5264999997</v>
      </c>
      <c r="AB6" s="24">
        <f>Revenue!AC8</f>
        <v>3743932.6385999997</v>
      </c>
      <c r="AC6" s="24">
        <f>Revenue!AD8</f>
        <v>4076731.1205000002</v>
      </c>
      <c r="AD6" s="24">
        <f>Revenue!AE8</f>
        <v>4426959.3740999997</v>
      </c>
      <c r="AE6" s="24">
        <f>Revenue!AF8</f>
        <v>4794903.6906000003</v>
      </c>
      <c r="AF6" s="24">
        <f>Revenue!AG8</f>
        <v>5180790.8597999997</v>
      </c>
      <c r="AG6" s="24">
        <f>Revenue!AH8</f>
        <v>5584843.9700999996</v>
      </c>
      <c r="AH6" s="24">
        <f>Revenue!AI8</f>
        <v>6007278.6791999992</v>
      </c>
      <c r="AI6" s="24">
        <f>Revenue!AJ8</f>
        <v>6448292.0540999994</v>
      </c>
      <c r="AJ6" s="24">
        <f>Revenue!AK8</f>
        <v>6908066.3004000001</v>
      </c>
      <c r="AK6" s="24">
        <f>Revenue!AL8</f>
        <v>7386761.3037</v>
      </c>
    </row>
    <row r="7" spans="1:37" x14ac:dyDescent="0.2">
      <c r="A7" s="6" t="s">
        <v>308</v>
      </c>
      <c r="B7" s="24">
        <f>Revenue!C9</f>
        <v>81434.854800000001</v>
      </c>
      <c r="C7" s="24">
        <f>Revenue!D9</f>
        <v>246803.6232</v>
      </c>
      <c r="D7" s="24">
        <f>Revenue!E9</f>
        <v>499274.29440000001</v>
      </c>
      <c r="E7" s="24">
        <f>Revenue!F9</f>
        <v>842193.19439999992</v>
      </c>
      <c r="F7" s="24">
        <f>Revenue!G9</f>
        <v>1279798.6680000001</v>
      </c>
      <c r="G7" s="24">
        <f>Revenue!H9</f>
        <v>1815972.0515999997</v>
      </c>
      <c r="H7" s="24">
        <f>Revenue!I9</f>
        <v>2455709.7887999997</v>
      </c>
      <c r="I7" s="24">
        <f>Revenue!J9</f>
        <v>3203606.898</v>
      </c>
      <c r="J7" s="24">
        <f>Revenue!K9</f>
        <v>4064391.9827999999</v>
      </c>
      <c r="K7" s="24">
        <f>Revenue!L9</f>
        <v>5043328.9919999996</v>
      </c>
      <c r="L7" s="24">
        <f>Revenue!M9</f>
        <v>6145637.1228</v>
      </c>
      <c r="M7" s="24">
        <f>Revenue!N9</f>
        <v>7377115.6692000004</v>
      </c>
      <c r="N7" s="24">
        <f>Revenue!O9</f>
        <v>8742849.9083999991</v>
      </c>
      <c r="O7" s="24">
        <f>Revenue!P9</f>
        <v>10248639.134399999</v>
      </c>
      <c r="P7" s="24">
        <f>Revenue!Q9</f>
        <v>11899747.296</v>
      </c>
      <c r="Q7" s="24">
        <f>Revenue!R9</f>
        <v>13701705.847199997</v>
      </c>
      <c r="R7" s="24">
        <f>Revenue!S9</f>
        <v>15659644.816799998</v>
      </c>
      <c r="S7" s="24">
        <f>Revenue!T9</f>
        <v>17779140.410400003</v>
      </c>
      <c r="T7" s="24">
        <f>Revenue!U9</f>
        <v>20065367.408399999</v>
      </c>
      <c r="U7" s="24">
        <f>Revenue!V9</f>
        <v>22523054.4144</v>
      </c>
      <c r="V7" s="24">
        <f>Revenue!W9</f>
        <v>25157376.208799999</v>
      </c>
      <c r="W7" s="24">
        <f>Revenue!X9</f>
        <v>27973150.898399994</v>
      </c>
      <c r="X7" s="24">
        <f>Revenue!Y9</f>
        <v>30974928.75</v>
      </c>
      <c r="Y7" s="24">
        <f>Revenue!Z9</f>
        <v>34167304.781999998</v>
      </c>
      <c r="Z7" s="24">
        <f>Revenue!AA9</f>
        <v>37554026.410799995</v>
      </c>
      <c r="AA7" s="24">
        <f>Revenue!AB9</f>
        <v>41139510.317999996</v>
      </c>
      <c r="AB7" s="24">
        <f>Revenue!AC9</f>
        <v>44927191.663199998</v>
      </c>
      <c r="AC7" s="24">
        <f>Revenue!AD9</f>
        <v>48920773.446000002</v>
      </c>
      <c r="AD7" s="24">
        <f>Revenue!AE9</f>
        <v>53123512.489199996</v>
      </c>
      <c r="AE7" s="24">
        <f>Revenue!AF9</f>
        <v>57538844.287200004</v>
      </c>
      <c r="AF7" s="24">
        <f>Revenue!AG9</f>
        <v>62169490.317599997</v>
      </c>
      <c r="AG7" s="24">
        <f>Revenue!AH9</f>
        <v>67018127.641199991</v>
      </c>
      <c r="AH7" s="24">
        <f>Revenue!AI9</f>
        <v>72087344.150399983</v>
      </c>
      <c r="AI7" s="24">
        <f>Revenue!AJ9</f>
        <v>77379504.649199992</v>
      </c>
      <c r="AJ7" s="24">
        <f>Revenue!AK9</f>
        <v>82896795.604800001</v>
      </c>
      <c r="AK7" s="24">
        <f>Revenue!AL9</f>
        <v>88641135.644400001</v>
      </c>
    </row>
    <row r="8" spans="1:37" x14ac:dyDescent="0.2">
      <c r="A8" s="6" t="s">
        <v>309</v>
      </c>
      <c r="B8" s="24">
        <f>'Cash Flow'!C18</f>
        <v>4866187.7078999998</v>
      </c>
      <c r="C8" s="24">
        <f>'Cash Flow'!D18</f>
        <v>4740333.3943499997</v>
      </c>
      <c r="D8" s="24">
        <f>'Cash Flow'!E18</f>
        <v>4622950.0777500002</v>
      </c>
      <c r="E8" s="24">
        <f>'Cash Flow'!F18</f>
        <v>4518015.8124000002</v>
      </c>
      <c r="F8" s="24">
        <f>'Cash Flow'!G18</f>
        <v>4429713.4091499997</v>
      </c>
      <c r="G8" s="24">
        <f>'Cash Flow'!H18</f>
        <v>4362409.9723749999</v>
      </c>
      <c r="H8" s="24">
        <f>'Cash Flow'!I18</f>
        <v>4283212.874175</v>
      </c>
      <c r="I8" s="24">
        <f>'Cash Flow'!J18</f>
        <v>4234451.1152999997</v>
      </c>
      <c r="J8" s="24">
        <f>'Cash Flow'!K18</f>
        <v>24221179.024225</v>
      </c>
      <c r="K8" s="24">
        <f>'Cash Flow'!L18</f>
        <v>24248704.886225</v>
      </c>
      <c r="L8" s="24">
        <f>'Cash Flow'!M18</f>
        <v>24322586.836399999</v>
      </c>
      <c r="M8" s="24">
        <f>'Cash Flow'!N18</f>
        <v>24448666.675724998</v>
      </c>
      <c r="N8" s="24">
        <f>'Cash Flow'!O18</f>
        <v>24633030.204999998</v>
      </c>
      <c r="O8" s="24">
        <f>'Cash Flow'!P18</f>
        <v>24882048.690899998</v>
      </c>
      <c r="P8" s="24">
        <f>'Cash Flow'!Q18</f>
        <v>25202352.216899998</v>
      </c>
      <c r="Q8" s="24">
        <f>'Cash Flow'!R18</f>
        <v>25600841.932349999</v>
      </c>
      <c r="R8" s="24">
        <f>'Cash Flow'!S18</f>
        <v>26084671.413399998</v>
      </c>
      <c r="S8" s="24">
        <f>'Cash Flow'!T18</f>
        <v>26661271.569049999</v>
      </c>
      <c r="T8" s="24">
        <f>'Cash Flow'!U18</f>
        <v>27263332.542075001</v>
      </c>
      <c r="U8" s="24">
        <f>'Cash Flow'!V18</f>
        <v>27973780.602975</v>
      </c>
      <c r="V8" s="24">
        <f>'Cash Flow'!W18</f>
        <v>28800802.696024999</v>
      </c>
      <c r="W8" s="24">
        <f>'Cash Flow'!X18</f>
        <v>29752832.807174999</v>
      </c>
      <c r="X8" s="24">
        <f>'Cash Flow'!Y18</f>
        <v>30838535.944049999</v>
      </c>
      <c r="Y8" s="24">
        <f>'Cash Flow'!Z18</f>
        <v>32066813.502924997</v>
      </c>
      <c r="Z8" s="24">
        <f>'Cash Flow'!AA18</f>
        <v>33446760.443599999</v>
      </c>
      <c r="AA8" s="24">
        <f>'Cash Flow'!AB18</f>
        <v>34987701.568475001</v>
      </c>
      <c r="AB8" s="24">
        <f>'Cash Flow'!AC18</f>
        <v>36699141.227425002</v>
      </c>
      <c r="AC8" s="24">
        <f>'Cash Flow'!AD18</f>
        <v>38590779.877800003</v>
      </c>
      <c r="AD8" s="24">
        <f>'Cash Flow'!AE18</f>
        <v>40672490.978375003</v>
      </c>
      <c r="AE8" s="24">
        <f>'Cash Flow'!AF18</f>
        <v>42954333.826324999</v>
      </c>
      <c r="AF8" s="24">
        <f>'Cash Flow'!AG18</f>
        <v>45446513.171175003</v>
      </c>
      <c r="AG8" s="24">
        <f>'Cash Flow'!AH18</f>
        <v>48159380.858750001</v>
      </c>
      <c r="AH8" s="24">
        <f>'Cash Flow'!AI18</f>
        <v>51103432.288149998</v>
      </c>
      <c r="AI8" s="24">
        <f>'Cash Flow'!AJ18</f>
        <v>54289294.498724997</v>
      </c>
      <c r="AJ8" s="24">
        <f>'Cash Flow'!AK18</f>
        <v>57727718.904024996</v>
      </c>
      <c r="AK8" s="24">
        <f>'Cash Flow'!AL18</f>
        <v>61429564.731799997</v>
      </c>
    </row>
    <row r="9" spans="1:37" x14ac:dyDescent="0.2">
      <c r="A9" s="6" t="s">
        <v>310</v>
      </c>
      <c r="B9" s="26">
        <f>Costs!C23</f>
        <v>-133812.29209999999</v>
      </c>
      <c r="C9" s="26">
        <f>Costs!D23</f>
        <v>-125854.31355000002</v>
      </c>
      <c r="D9" s="26">
        <f>Costs!E23</f>
        <v>-117383.31659999999</v>
      </c>
      <c r="E9" s="26">
        <f>Costs!F23</f>
        <v>-104934.26534999999</v>
      </c>
      <c r="F9" s="26">
        <f>Costs!G23</f>
        <v>-88302.403250000003</v>
      </c>
      <c r="G9" s="26">
        <f>Costs!H23</f>
        <v>-67303.436775000038</v>
      </c>
      <c r="H9" s="26">
        <f>Costs!I23</f>
        <v>-79197.098200000008</v>
      </c>
      <c r="I9" s="26">
        <f>Costs!J23</f>
        <v>-48761.758875</v>
      </c>
      <c r="J9" s="26">
        <f>Costs!K23</f>
        <v>-13272.091075000004</v>
      </c>
      <c r="K9" s="26">
        <f>Costs!L23</f>
        <v>27525.861999999965</v>
      </c>
      <c r="L9" s="26">
        <f>Costs!M23</f>
        <v>73881.950174999947</v>
      </c>
      <c r="M9" s="26">
        <f>Costs!N23</f>
        <v>126079.83932500001</v>
      </c>
      <c r="N9" s="26">
        <f>Costs!O23</f>
        <v>184363.52927499998</v>
      </c>
      <c r="O9" s="26">
        <f>Costs!P23</f>
        <v>249018.48589999997</v>
      </c>
      <c r="P9" s="26">
        <f>Costs!Q23</f>
        <v>320303.52599999995</v>
      </c>
      <c r="Q9" s="26">
        <f>Costs!R23</f>
        <v>398489.71544999979</v>
      </c>
      <c r="R9" s="26">
        <f>Costs!S23</f>
        <v>483829.48104999983</v>
      </c>
      <c r="S9" s="26">
        <f>Costs!T23</f>
        <v>576600.15565000009</v>
      </c>
      <c r="T9" s="26">
        <f>Costs!U23</f>
        <v>602060.97302499996</v>
      </c>
      <c r="U9" s="26">
        <f>Costs!V23</f>
        <v>710448.06089999992</v>
      </c>
      <c r="V9" s="26">
        <f>Costs!W23</f>
        <v>827022.09305000002</v>
      </c>
      <c r="W9" s="26">
        <f>Costs!X23</f>
        <v>952030.11114999978</v>
      </c>
      <c r="X9" s="26">
        <f>Costs!Y23</f>
        <v>1085703.1368749999</v>
      </c>
      <c r="Y9" s="26">
        <f>Costs!Z23</f>
        <v>1228277.5588749999</v>
      </c>
      <c r="Z9" s="26">
        <f>Costs!AA23</f>
        <v>1379946.9406749997</v>
      </c>
      <c r="AA9" s="26">
        <f>Costs!AB23</f>
        <v>1540941.1248749997</v>
      </c>
      <c r="AB9" s="26">
        <f>Costs!AC23</f>
        <v>1711439.6589499996</v>
      </c>
      <c r="AC9" s="26">
        <f>Costs!AD23</f>
        <v>1891638.6503750002</v>
      </c>
      <c r="AD9" s="26">
        <f>Costs!AE23</f>
        <v>2081711.100575</v>
      </c>
      <c r="AE9" s="26">
        <f>Costs!AF23</f>
        <v>2281842.8479500003</v>
      </c>
      <c r="AF9" s="26">
        <f>Costs!AG23</f>
        <v>2492179.34485</v>
      </c>
      <c r="AG9" s="26">
        <f>Costs!AH23</f>
        <v>2712867.6875749994</v>
      </c>
      <c r="AH9" s="26">
        <f>Costs!AI23</f>
        <v>2944051.4293999993</v>
      </c>
      <c r="AI9" s="26">
        <f>Costs!AJ23</f>
        <v>3185862.2105749995</v>
      </c>
      <c r="AJ9" s="26">
        <f>Costs!AK23</f>
        <v>3438424.4052999998</v>
      </c>
      <c r="AK9" s="26">
        <f>Costs!AL23</f>
        <v>3701845.8277750001</v>
      </c>
    </row>
    <row r="10" spans="1:37" x14ac:dyDescent="0.2">
      <c r="A10" s="6" t="s">
        <v>212</v>
      </c>
      <c r="B10" s="30">
        <f>Costs!C22</f>
        <v>0.46504233221767838</v>
      </c>
      <c r="C10" s="30">
        <f>Costs!D22</f>
        <v>0.57229963388965355</v>
      </c>
      <c r="D10" s="30">
        <f>Costs!E22</f>
        <v>0.62650029834982823</v>
      </c>
      <c r="E10" s="30">
        <f>Costs!F22</f>
        <v>0.65939216570805381</v>
      </c>
      <c r="F10" s="30">
        <f>Costs!G22</f>
        <v>0.68168649476981635</v>
      </c>
      <c r="G10" s="30">
        <f>Costs!H22</f>
        <v>0.69784876396277229</v>
      </c>
      <c r="H10" s="30">
        <f>Costs!I22</f>
        <v>0.71020679917240881</v>
      </c>
      <c r="I10" s="30">
        <f>Costs!J22</f>
        <v>0.72000984248099209</v>
      </c>
      <c r="J10" s="30">
        <f>Costs!K22</f>
        <v>0.72800389217419648</v>
      </c>
      <c r="K10" s="30">
        <f>Costs!L22</f>
        <v>0.73468357861988942</v>
      </c>
      <c r="L10" s="30">
        <f>Costs!M22</f>
        <v>0.7403683998717725</v>
      </c>
      <c r="M10" s="30">
        <f>Costs!N22</f>
        <v>0.74529516897167425</v>
      </c>
      <c r="N10" s="30">
        <f>Costs!O22</f>
        <v>0.74961315555734853</v>
      </c>
      <c r="O10" s="30">
        <f>Costs!P22</f>
        <v>0.75344787079890374</v>
      </c>
      <c r="P10" s="30">
        <f>Costs!Q22</f>
        <v>0.75688603059894755</v>
      </c>
      <c r="Q10" s="30">
        <f>Costs!R22</f>
        <v>0.75999458485878846</v>
      </c>
      <c r="R10" s="30">
        <f>Costs!S22</f>
        <v>0.7628240842336701</v>
      </c>
      <c r="S10" s="30">
        <f>Costs!T22</f>
        <v>0.76541872645539411</v>
      </c>
      <c r="T10" s="30">
        <f>Costs!U22</f>
        <v>0.76781244493686041</v>
      </c>
      <c r="U10" s="30">
        <f>Costs!V22</f>
        <v>0.77003040952170154</v>
      </c>
      <c r="V10" s="30">
        <f>Costs!W22</f>
        <v>0.77209616168181927</v>
      </c>
      <c r="W10" s="30">
        <f>Costs!X22</f>
        <v>0.7740295891957758</v>
      </c>
      <c r="X10" s="30">
        <f>Costs!Y22</f>
        <v>0.77584527615741483</v>
      </c>
      <c r="Y10" s="30">
        <f>Costs!Z22</f>
        <v>0.77755683544568099</v>
      </c>
      <c r="Z10" s="30">
        <f>Costs!AA22</f>
        <v>0.77917390510182205</v>
      </c>
      <c r="AA10" s="30">
        <f>Costs!AB22</f>
        <v>0.78070705921716499</v>
      </c>
      <c r="AB10" s="30">
        <f>Costs!AC22</f>
        <v>0.78216330828404768</v>
      </c>
      <c r="AC10" s="30">
        <f>Costs!AD22</f>
        <v>0.78355018422412537</v>
      </c>
      <c r="AD10" s="30">
        <f>Costs!AE22</f>
        <v>0.78487346064845831</v>
      </c>
      <c r="AE10" s="30">
        <f>Costs!AF22</f>
        <v>0.78613936459030664</v>
      </c>
      <c r="AF10" s="30">
        <f>Costs!AG22</f>
        <v>0.78735164575963412</v>
      </c>
      <c r="AG10" s="30">
        <f>Costs!AH22</f>
        <v>0.7885145034805956</v>
      </c>
      <c r="AH10" s="30">
        <f>Costs!AI22</f>
        <v>0.78963182540945565</v>
      </c>
      <c r="AI10" s="30">
        <f>Costs!AJ22</f>
        <v>0.79070683544150289</v>
      </c>
      <c r="AJ10" s="30">
        <f>Costs!AK22</f>
        <v>0.79174261834795989</v>
      </c>
      <c r="AK10" s="30">
        <f>Costs!AL22</f>
        <v>0.79274139408929556</v>
      </c>
    </row>
    <row r="11" spans="1:37" x14ac:dyDescent="0.2">
      <c r="A11" t="s">
        <v>311</v>
      </c>
      <c r="B11">
        <f>Revenue!C19</f>
        <v>0</v>
      </c>
      <c r="C11">
        <f>Revenue!D19</f>
        <v>0.92339760148992123</v>
      </c>
      <c r="D11">
        <f>Revenue!E19</f>
        <v>0.94926751140175325</v>
      </c>
      <c r="E11">
        <f>Revenue!F19</f>
        <v>0.95707079286796137</v>
      </c>
      <c r="F11">
        <f>Revenue!G19</f>
        <v>0.96121636767289442</v>
      </c>
      <c r="G11">
        <f>Revenue!H19</f>
        <v>0.9636483419124795</v>
      </c>
      <c r="H11">
        <f>Revenue!I19</f>
        <v>0.96535037070390994</v>
      </c>
      <c r="I11">
        <f>Revenue!J19</f>
        <v>0.96651890643797245</v>
      </c>
      <c r="J11">
        <f>Revenue!K19</f>
        <v>0.96729589873669952</v>
      </c>
      <c r="K11">
        <f>Revenue!L19</f>
        <v>0.96793896244470268</v>
      </c>
      <c r="L11">
        <f>Revenue!M19</f>
        <v>0.96843563514247921</v>
      </c>
      <c r="M11">
        <f>Revenue!N19</f>
        <v>0.96886829883101988</v>
      </c>
      <c r="N11">
        <f>Revenue!O19</f>
        <v>0.96917133511278364</v>
      </c>
      <c r="O11">
        <f>Revenue!P19</f>
        <v>0.96946518990981334</v>
      </c>
      <c r="P11">
        <f>Revenue!Q19</f>
        <v>0.96970686703584708</v>
      </c>
      <c r="Q11">
        <f>Revenue!R19</f>
        <v>0.96990221006454558</v>
      </c>
      <c r="R11">
        <f>Revenue!S19</f>
        <v>0.9700608287628778</v>
      </c>
      <c r="S11">
        <f>Revenue!T19</f>
        <v>0.97022052503389433</v>
      </c>
      <c r="T11">
        <f>Revenue!U19</f>
        <v>0.97035342014107306</v>
      </c>
      <c r="U11">
        <f>Revenue!V19</f>
        <v>0.97045462315572573</v>
      </c>
      <c r="V11">
        <f>Revenue!W19</f>
        <v>0.97056348137328508</v>
      </c>
      <c r="W11">
        <f>Revenue!X19</f>
        <v>0.97065318777791509</v>
      </c>
      <c r="X11">
        <f>Revenue!Y19</f>
        <v>0.9707388716354145</v>
      </c>
      <c r="Y11">
        <f>Revenue!Z19</f>
        <v>0.97081865318576399</v>
      </c>
      <c r="Z11">
        <f>Revenue!AA19</f>
        <v>0.97087711176667901</v>
      </c>
      <c r="AA11">
        <f>Revenue!AB19</f>
        <v>0.9709430849820625</v>
      </c>
      <c r="AB11">
        <f>Revenue!AC19</f>
        <v>0.97099520267556727</v>
      </c>
      <c r="AC11">
        <f>Revenue!AD19</f>
        <v>0.97104625158519553</v>
      </c>
      <c r="AD11">
        <f>Revenue!AE19</f>
        <v>0.97108891442280243</v>
      </c>
      <c r="AE11">
        <f>Revenue!AF19</f>
        <v>0.97113475559599449</v>
      </c>
      <c r="AF11">
        <f>Revenue!AG19</f>
        <v>0.97117034027794991</v>
      </c>
      <c r="AG11">
        <f>Revenue!AH19</f>
        <v>0.97120664621737718</v>
      </c>
      <c r="AH11">
        <f>Revenue!AI19</f>
        <v>0.97123899561743277</v>
      </c>
      <c r="AI11">
        <f>Revenue!AJ19</f>
        <v>0.97126892484651894</v>
      </c>
      <c r="AJ11">
        <f>Revenue!AK19</f>
        <v>0.97129926150253576</v>
      </c>
      <c r="AK11">
        <f>Revenue!AL19</f>
        <v>0.97132559247606953</v>
      </c>
    </row>
  </sheetData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63"/>
  <sheetViews>
    <sheetView workbookViewId="0"/>
  </sheetViews>
  <sheetFormatPr baseColWidth="10" defaultColWidth="8.83203125" defaultRowHeight="15" x14ac:dyDescent="0.2"/>
  <cols>
    <col min="1" max="1" width="42" customWidth="1"/>
    <col min="2" max="2" width="22" customWidth="1"/>
    <col min="3" max="4" width="18" customWidth="1"/>
    <col min="5" max="5" width="50" customWidth="1"/>
  </cols>
  <sheetData>
    <row r="1" spans="1:5" ht="18" x14ac:dyDescent="0.2">
      <c r="A1" s="40" t="s">
        <v>312</v>
      </c>
    </row>
    <row r="2" spans="1:5" x14ac:dyDescent="0.2">
      <c r="A2" s="41" t="s">
        <v>313</v>
      </c>
    </row>
    <row r="4" spans="1:5" ht="18" x14ac:dyDescent="0.2">
      <c r="A4" s="42" t="s">
        <v>314</v>
      </c>
      <c r="B4" s="43"/>
      <c r="C4" s="43"/>
      <c r="D4" s="43"/>
      <c r="E4" s="43"/>
    </row>
    <row r="5" spans="1:5" x14ac:dyDescent="0.2">
      <c r="A5" s="44" t="s">
        <v>112</v>
      </c>
      <c r="B5" s="44" t="s">
        <v>315</v>
      </c>
      <c r="C5" s="44" t="s">
        <v>316</v>
      </c>
      <c r="D5" s="44" t="s">
        <v>317</v>
      </c>
      <c r="E5" s="44" t="s">
        <v>318</v>
      </c>
    </row>
    <row r="6" spans="1:5" x14ac:dyDescent="0.2">
      <c r="A6" s="45" t="s">
        <v>319</v>
      </c>
      <c r="B6" s="30">
        <f>Costs!N22</f>
        <v>0.74529516897167425</v>
      </c>
      <c r="C6" s="46" t="s">
        <v>320</v>
      </c>
      <c r="D6" s="47" t="s">
        <v>321</v>
      </c>
      <c r="E6" s="41" t="s">
        <v>322</v>
      </c>
    </row>
    <row r="7" spans="1:5" x14ac:dyDescent="0.2">
      <c r="A7" s="45" t="s">
        <v>323</v>
      </c>
      <c r="B7" s="30">
        <f>Costs!T22</f>
        <v>0.76541872645539411</v>
      </c>
      <c r="C7" s="46"/>
      <c r="D7" s="48" t="s">
        <v>324</v>
      </c>
      <c r="E7" s="41" t="s">
        <v>325</v>
      </c>
    </row>
    <row r="8" spans="1:5" x14ac:dyDescent="0.2">
      <c r="A8" s="45" t="s">
        <v>326</v>
      </c>
      <c r="B8" s="30">
        <f>Costs!AL22</f>
        <v>0.79274139408929556</v>
      </c>
      <c r="C8" s="46"/>
      <c r="D8" s="48" t="s">
        <v>324</v>
      </c>
      <c r="E8" s="41" t="s">
        <v>327</v>
      </c>
    </row>
    <row r="9" spans="1:5" x14ac:dyDescent="0.2">
      <c r="A9" s="45" t="s">
        <v>328</v>
      </c>
      <c r="B9" s="49">
        <f>'Unit Economics'!B67</f>
        <v>10</v>
      </c>
      <c r="C9" s="46" t="s">
        <v>329</v>
      </c>
      <c r="D9" s="47" t="s">
        <v>321</v>
      </c>
      <c r="E9" s="41" t="s">
        <v>330</v>
      </c>
    </row>
    <row r="10" spans="1:5" x14ac:dyDescent="0.2">
      <c r="A10" s="45" t="s">
        <v>331</v>
      </c>
      <c r="B10" s="50">
        <f>Assumptions!B73</f>
        <v>5.2148518982060912</v>
      </c>
      <c r="C10" s="46"/>
      <c r="E10" s="41"/>
    </row>
    <row r="11" spans="1:5" x14ac:dyDescent="0.2">
      <c r="A11" s="45" t="s">
        <v>332</v>
      </c>
      <c r="B11" s="50">
        <f>Assumptions!B74</f>
        <v>7.5037518759379696</v>
      </c>
      <c r="C11" s="46"/>
      <c r="E11" s="41"/>
    </row>
    <row r="12" spans="1:5" x14ac:dyDescent="0.2">
      <c r="A12" s="45" t="s">
        <v>333</v>
      </c>
      <c r="B12" s="51">
        <f>(Assumptions!B73*'Unit Economics'!B39+Assumptions!B74*'Unit Economics'!B40)/('Unit Economics'!B39+'Unit Economics'!B40)</f>
        <v>5.8390973466784217</v>
      </c>
      <c r="C12" s="46" t="s">
        <v>334</v>
      </c>
      <c r="D12" s="52" t="s">
        <v>335</v>
      </c>
      <c r="E12" s="41" t="s">
        <v>336</v>
      </c>
    </row>
    <row r="14" spans="1:5" ht="18" x14ac:dyDescent="0.2">
      <c r="A14" s="42" t="s">
        <v>337</v>
      </c>
      <c r="B14" s="43"/>
      <c r="C14" s="43"/>
      <c r="D14" s="43"/>
      <c r="E14" s="43"/>
    </row>
    <row r="15" spans="1:5" x14ac:dyDescent="0.2">
      <c r="A15" s="44" t="s">
        <v>112</v>
      </c>
      <c r="B15" s="44" t="s">
        <v>315</v>
      </c>
      <c r="C15" s="44" t="s">
        <v>316</v>
      </c>
      <c r="D15" s="44" t="s">
        <v>317</v>
      </c>
      <c r="E15" s="44" t="s">
        <v>318</v>
      </c>
    </row>
    <row r="16" spans="1:5" x14ac:dyDescent="0.2">
      <c r="A16" s="45" t="s">
        <v>229</v>
      </c>
      <c r="B16" s="50">
        <f>'Unit Economics'!B14</f>
        <v>10.010506912442397</v>
      </c>
      <c r="C16" s="46" t="s">
        <v>338</v>
      </c>
      <c r="D16" s="47" t="s">
        <v>321</v>
      </c>
      <c r="E16" s="41" t="s">
        <v>339</v>
      </c>
    </row>
    <row r="17" spans="1:5" x14ac:dyDescent="0.2">
      <c r="A17" s="45" t="s">
        <v>231</v>
      </c>
      <c r="B17" s="50">
        <f>'Unit Economics'!B15</f>
        <v>50.969892473118279</v>
      </c>
      <c r="C17" s="46" t="s">
        <v>340</v>
      </c>
      <c r="D17" s="47" t="s">
        <v>321</v>
      </c>
      <c r="E17" s="41" t="s">
        <v>341</v>
      </c>
    </row>
    <row r="18" spans="1:5" x14ac:dyDescent="0.2">
      <c r="A18" s="45" t="s">
        <v>342</v>
      </c>
      <c r="B18" s="29">
        <f>'Unit Economics'!B12</f>
        <v>108.614</v>
      </c>
      <c r="E18" s="41"/>
    </row>
    <row r="19" spans="1:5" x14ac:dyDescent="0.2">
      <c r="A19" s="45" t="s">
        <v>343</v>
      </c>
      <c r="B19" s="29">
        <f>'Unit Economics'!B13</f>
        <v>553.02333333333331</v>
      </c>
      <c r="E19" s="41"/>
    </row>
    <row r="20" spans="1:5" x14ac:dyDescent="0.2">
      <c r="A20" s="45" t="s">
        <v>344</v>
      </c>
      <c r="B20" s="29">
        <f>'Unit Economics'!B5</f>
        <v>10.85</v>
      </c>
      <c r="E20" s="41"/>
    </row>
    <row r="21" spans="1:5" x14ac:dyDescent="0.2">
      <c r="A21" s="45" t="s">
        <v>345</v>
      </c>
      <c r="B21" s="30">
        <f>'Unit Economics'!B21</f>
        <v>0.73084635364097594</v>
      </c>
      <c r="C21" s="46" t="s">
        <v>346</v>
      </c>
      <c r="D21" s="53" t="s">
        <v>347</v>
      </c>
      <c r="E21" s="41"/>
    </row>
    <row r="22" spans="1:5" x14ac:dyDescent="0.2">
      <c r="A22" s="45" t="s">
        <v>348</v>
      </c>
      <c r="B22" s="30">
        <f>'Unit Economics'!B26</f>
        <v>0.89241932794354162</v>
      </c>
      <c r="C22" s="46" t="s">
        <v>349</v>
      </c>
      <c r="D22" s="53" t="s">
        <v>347</v>
      </c>
      <c r="E22" s="41"/>
    </row>
    <row r="23" spans="1:5" x14ac:dyDescent="0.2">
      <c r="A23" s="45" t="s">
        <v>350</v>
      </c>
      <c r="B23" s="30">
        <f>Costs!N22</f>
        <v>0.74529516897167425</v>
      </c>
      <c r="C23" s="46" t="s">
        <v>351</v>
      </c>
      <c r="D23" s="47" t="s">
        <v>321</v>
      </c>
      <c r="E23" s="41" t="s">
        <v>352</v>
      </c>
    </row>
    <row r="24" spans="1:5" x14ac:dyDescent="0.2">
      <c r="A24" s="45" t="s">
        <v>353</v>
      </c>
      <c r="B24" s="49">
        <f>'Unit Economics'!B67</f>
        <v>10</v>
      </c>
      <c r="C24" s="46" t="s">
        <v>354</v>
      </c>
      <c r="D24" s="47" t="s">
        <v>321</v>
      </c>
      <c r="E24" s="41" t="s">
        <v>355</v>
      </c>
    </row>
    <row r="26" spans="1:5" ht="18" x14ac:dyDescent="0.2">
      <c r="A26" s="42" t="s">
        <v>356</v>
      </c>
      <c r="B26" s="43"/>
      <c r="C26" s="43"/>
      <c r="D26" s="43"/>
      <c r="E26" s="43"/>
    </row>
    <row r="27" spans="1:5" x14ac:dyDescent="0.2">
      <c r="A27" s="44" t="s">
        <v>112</v>
      </c>
      <c r="B27" s="44" t="s">
        <v>315</v>
      </c>
      <c r="C27" s="44" t="s">
        <v>316</v>
      </c>
      <c r="D27" s="44" t="s">
        <v>317</v>
      </c>
      <c r="E27" s="44" t="s">
        <v>318</v>
      </c>
    </row>
    <row r="28" spans="1:5" x14ac:dyDescent="0.2">
      <c r="A28" s="45" t="s">
        <v>357</v>
      </c>
      <c r="B28" s="54">
        <f>'Unit Economics'!B67</f>
        <v>10</v>
      </c>
      <c r="E28" s="41" t="s">
        <v>358</v>
      </c>
    </row>
    <row r="29" spans="1:5" x14ac:dyDescent="0.2">
      <c r="A29" s="45" t="s">
        <v>359</v>
      </c>
      <c r="B29" s="24">
        <f>'Unit Economics'!B71</f>
        <v>420277.41599999997</v>
      </c>
      <c r="E29" s="41" t="s">
        <v>360</v>
      </c>
    </row>
    <row r="30" spans="1:5" x14ac:dyDescent="0.2">
      <c r="A30" s="45" t="s">
        <v>361</v>
      </c>
      <c r="B30" s="24">
        <f>'Unit Economics'!B72</f>
        <v>5043328.9919999996</v>
      </c>
      <c r="E30" s="41"/>
    </row>
    <row r="31" spans="1:5" x14ac:dyDescent="0.2">
      <c r="A31" s="45" t="s">
        <v>362</v>
      </c>
      <c r="B31" s="55">
        <f>SUMPRODUCT(--('Cash Flow'!C21:AL21&lt;0))+1</f>
        <v>15</v>
      </c>
      <c r="E31" s="41" t="s">
        <v>363</v>
      </c>
    </row>
    <row r="32" spans="1:5" x14ac:dyDescent="0.2">
      <c r="A32" s="45" t="s">
        <v>364</v>
      </c>
      <c r="B32" s="55">
        <f>SUMPRODUCT(--(Revenue!C8:AL8&lt;Assumptions!$B$55))+1</f>
        <v>9</v>
      </c>
      <c r="E32" s="41" t="s">
        <v>365</v>
      </c>
    </row>
    <row r="33" spans="1:5" x14ac:dyDescent="0.2">
      <c r="A33" s="45" t="s">
        <v>366</v>
      </c>
      <c r="B33" s="24">
        <f>Revenue!T9</f>
        <v>17779140.410400003</v>
      </c>
      <c r="E33" s="41"/>
    </row>
    <row r="34" spans="1:5" x14ac:dyDescent="0.2">
      <c r="A34" s="45" t="s">
        <v>367</v>
      </c>
      <c r="B34" s="24">
        <f>Costs!T23</f>
        <v>576600.15565000009</v>
      </c>
      <c r="E34" s="41" t="s">
        <v>368</v>
      </c>
    </row>
    <row r="36" spans="1:5" ht="18" x14ac:dyDescent="0.2">
      <c r="A36" s="42" t="s">
        <v>369</v>
      </c>
      <c r="B36" s="43"/>
      <c r="C36" s="43"/>
      <c r="D36" s="43"/>
      <c r="E36" s="43"/>
    </row>
    <row r="37" spans="1:5" x14ac:dyDescent="0.2">
      <c r="A37" s="44" t="s">
        <v>112</v>
      </c>
      <c r="B37" s="44" t="s">
        <v>315</v>
      </c>
      <c r="C37" s="44" t="s">
        <v>316</v>
      </c>
      <c r="D37" s="44" t="s">
        <v>317</v>
      </c>
      <c r="E37" s="44" t="s">
        <v>318</v>
      </c>
    </row>
    <row r="38" spans="1:5" x14ac:dyDescent="0.2">
      <c r="A38" s="45" t="s">
        <v>370</v>
      </c>
      <c r="B38" s="56">
        <v>7000000000</v>
      </c>
      <c r="C38" s="46" t="s">
        <v>371</v>
      </c>
      <c r="D38" s="52" t="s">
        <v>372</v>
      </c>
      <c r="E38" s="41" t="s">
        <v>373</v>
      </c>
    </row>
    <row r="39" spans="1:5" x14ac:dyDescent="0.2">
      <c r="A39" s="45" t="s">
        <v>374</v>
      </c>
      <c r="B39" s="56">
        <v>1500000000</v>
      </c>
      <c r="C39" s="46" t="s">
        <v>375</v>
      </c>
      <c r="D39" s="52" t="s">
        <v>372</v>
      </c>
      <c r="E39" s="41" t="s">
        <v>376</v>
      </c>
    </row>
    <row r="40" spans="1:5" x14ac:dyDescent="0.2">
      <c r="A40" s="45" t="s">
        <v>377</v>
      </c>
      <c r="B40" s="57">
        <f>Revenue!AL17</f>
        <v>83778702.803100005</v>
      </c>
      <c r="C40" s="46" t="s">
        <v>378</v>
      </c>
      <c r="D40" s="47" t="s">
        <v>321</v>
      </c>
      <c r="E40" s="41" t="s">
        <v>379</v>
      </c>
    </row>
    <row r="41" spans="1:5" x14ac:dyDescent="0.2">
      <c r="A41" s="45" t="s">
        <v>380</v>
      </c>
      <c r="B41" s="58">
        <f>SUM(Revenue!C16:N16)</f>
        <v>2754605.5949999997</v>
      </c>
      <c r="E41" s="41"/>
    </row>
    <row r="42" spans="1:5" x14ac:dyDescent="0.2">
      <c r="A42" s="45" t="s">
        <v>381</v>
      </c>
      <c r="B42" s="58">
        <f>SUM(Revenue!O16:Z16)</f>
        <v>19907742.489599999</v>
      </c>
      <c r="E42" s="41"/>
    </row>
    <row r="43" spans="1:5" x14ac:dyDescent="0.2">
      <c r="A43" s="45" t="s">
        <v>382</v>
      </c>
      <c r="B43" s="58">
        <f>SUM(Revenue!AA16:AL16)</f>
        <v>61116354.718500003</v>
      </c>
      <c r="E43" s="41"/>
    </row>
    <row r="45" spans="1:5" ht="18" x14ac:dyDescent="0.2">
      <c r="A45" s="42" t="s">
        <v>383</v>
      </c>
      <c r="B45" s="43"/>
      <c r="C45" s="43"/>
      <c r="D45" s="43"/>
      <c r="E45" s="43"/>
    </row>
    <row r="46" spans="1:5" x14ac:dyDescent="0.2">
      <c r="A46" s="44" t="s">
        <v>112</v>
      </c>
      <c r="B46" s="44" t="s">
        <v>315</v>
      </c>
      <c r="C46" s="44" t="s">
        <v>316</v>
      </c>
      <c r="D46" s="44" t="s">
        <v>317</v>
      </c>
      <c r="E46" s="44" t="s">
        <v>318</v>
      </c>
    </row>
    <row r="47" spans="1:5" x14ac:dyDescent="0.2">
      <c r="A47" s="45" t="s">
        <v>384</v>
      </c>
      <c r="B47" s="46">
        <v>35</v>
      </c>
      <c r="C47" s="46" t="s">
        <v>385</v>
      </c>
      <c r="D47" s="48" t="s">
        <v>386</v>
      </c>
      <c r="E47" s="41" t="s">
        <v>387</v>
      </c>
    </row>
    <row r="48" spans="1:5" x14ac:dyDescent="0.2">
      <c r="A48" s="45" t="s">
        <v>388</v>
      </c>
      <c r="B48" s="59">
        <f>Assumptions!C47</f>
        <v>12</v>
      </c>
      <c r="C48" s="46" t="s">
        <v>389</v>
      </c>
      <c r="D48" s="52" t="s">
        <v>335</v>
      </c>
      <c r="E48" s="41" t="s">
        <v>390</v>
      </c>
    </row>
    <row r="49" spans="1:5" x14ac:dyDescent="0.2">
      <c r="A49" s="45" t="s">
        <v>391</v>
      </c>
      <c r="B49" s="51">
        <f>B47/B48</f>
        <v>2.9166666666666665</v>
      </c>
      <c r="C49" s="46" t="s">
        <v>392</v>
      </c>
      <c r="E49" s="41"/>
    </row>
    <row r="52" spans="1:5" ht="18" x14ac:dyDescent="0.2">
      <c r="A52" s="42" t="s">
        <v>393</v>
      </c>
      <c r="B52" s="43"/>
      <c r="C52" s="43"/>
      <c r="D52" s="43"/>
      <c r="E52" s="43"/>
    </row>
    <row r="54" spans="1:5" x14ac:dyDescent="0.2">
      <c r="A54" s="44" t="s">
        <v>394</v>
      </c>
      <c r="B54" s="44" t="s">
        <v>316</v>
      </c>
      <c r="C54" s="44" t="s">
        <v>315</v>
      </c>
      <c r="D54" s="44" t="s">
        <v>395</v>
      </c>
    </row>
    <row r="55" spans="1:5" x14ac:dyDescent="0.2">
      <c r="A55" s="45" t="s">
        <v>396</v>
      </c>
      <c r="B55" s="60" t="s">
        <v>320</v>
      </c>
      <c r="C55" s="45" t="s">
        <v>397</v>
      </c>
      <c r="D55" s="45" t="s">
        <v>398</v>
      </c>
    </row>
    <row r="56" spans="1:5" x14ac:dyDescent="0.2">
      <c r="A56" s="45" t="s">
        <v>399</v>
      </c>
      <c r="B56" s="60" t="s">
        <v>329</v>
      </c>
      <c r="C56" s="45" t="s">
        <v>400</v>
      </c>
      <c r="D56" s="45" t="s">
        <v>401</v>
      </c>
    </row>
    <row r="57" spans="1:5" x14ac:dyDescent="0.2">
      <c r="A57" s="45" t="s">
        <v>402</v>
      </c>
      <c r="B57" s="60" t="s">
        <v>334</v>
      </c>
      <c r="C57" s="45" t="s">
        <v>403</v>
      </c>
      <c r="D57" s="45" t="s">
        <v>404</v>
      </c>
    </row>
    <row r="58" spans="1:5" x14ac:dyDescent="0.2">
      <c r="A58" s="45" t="s">
        <v>405</v>
      </c>
      <c r="B58" s="60" t="s">
        <v>338</v>
      </c>
      <c r="C58" s="45" t="s">
        <v>406</v>
      </c>
      <c r="D58" s="45" t="s">
        <v>407</v>
      </c>
    </row>
    <row r="59" spans="1:5" x14ac:dyDescent="0.2">
      <c r="A59" s="45" t="s">
        <v>408</v>
      </c>
      <c r="B59" s="60" t="s">
        <v>340</v>
      </c>
      <c r="C59" s="45" t="s">
        <v>409</v>
      </c>
      <c r="D59" s="45" t="s">
        <v>410</v>
      </c>
    </row>
    <row r="60" spans="1:5" x14ac:dyDescent="0.2">
      <c r="A60" s="45" t="s">
        <v>411</v>
      </c>
      <c r="B60" s="60" t="s">
        <v>351</v>
      </c>
      <c r="C60" s="45" t="s">
        <v>397</v>
      </c>
      <c r="D60" s="45" t="s">
        <v>412</v>
      </c>
    </row>
    <row r="61" spans="1:5" x14ac:dyDescent="0.2">
      <c r="A61" s="45" t="s">
        <v>413</v>
      </c>
      <c r="B61" s="60" t="s">
        <v>354</v>
      </c>
      <c r="C61" s="45" t="s">
        <v>400</v>
      </c>
      <c r="D61" s="45" t="s">
        <v>414</v>
      </c>
    </row>
    <row r="62" spans="1:5" x14ac:dyDescent="0.2">
      <c r="A62" s="45" t="s">
        <v>415</v>
      </c>
      <c r="B62" s="60" t="s">
        <v>378</v>
      </c>
      <c r="C62" s="45" t="s">
        <v>416</v>
      </c>
      <c r="D62" s="45" t="s">
        <v>417</v>
      </c>
    </row>
    <row r="63" spans="1:5" x14ac:dyDescent="0.2">
      <c r="A63" s="45" t="s">
        <v>418</v>
      </c>
      <c r="B63" s="60" t="s">
        <v>419</v>
      </c>
      <c r="C63" s="45" t="s">
        <v>420</v>
      </c>
      <c r="D63" s="45" t="s">
        <v>421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Assumptions</vt:lpstr>
      <vt:lpstr>User Growth</vt:lpstr>
      <vt:lpstr>Revenue</vt:lpstr>
      <vt:lpstr>Costs</vt:lpstr>
      <vt:lpstr>Unit Economics</vt:lpstr>
      <vt:lpstr>Cash Flow</vt:lpstr>
      <vt:lpstr>Dashboard</vt:lpstr>
      <vt:lpstr>Slide Metrics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Shinji Fujiwara</cp:lastModifiedBy>
  <dcterms:created xsi:type="dcterms:W3CDTF">2026-02-11T05:39:24Z</dcterms:created>
  <dcterms:modified xsi:type="dcterms:W3CDTF">2026-02-20T00:11:20Z</dcterms:modified>
</cp:coreProperties>
</file>