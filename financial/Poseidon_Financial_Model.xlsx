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shinjifujiwara/code/poseidon-mit.github.io/financial/"/>
    </mc:Choice>
  </mc:AlternateContent>
  <xr:revisionPtr revIDLastSave="0" documentId="13_ncr:1_{B62BC612-3F5D-A147-9574-46CC24AAB232}" xr6:coauthVersionLast="47" xr6:coauthVersionMax="47" xr10:uidLastSave="{00000000-0000-0000-0000-000000000000}"/>
  <bookViews>
    <workbookView xWindow="-76800" yWindow="-6200" windowWidth="38400" windowHeight="31780" activeTab="7" xr2:uid="{00000000-000D-0000-FFFF-FFFF00000000}"/>
  </bookViews>
  <sheets>
    <sheet name="Assumptions" sheetId="1" r:id="rId1"/>
    <sheet name="User Growth" sheetId="2" r:id="rId2"/>
    <sheet name="Revenue" sheetId="3" r:id="rId3"/>
    <sheet name="Costs" sheetId="4" r:id="rId4"/>
    <sheet name="Unit Economics" sheetId="5" r:id="rId5"/>
    <sheet name="Cash Flow" sheetId="6" r:id="rId6"/>
    <sheet name="Dashboard" sheetId="7" r:id="rId7"/>
    <sheet name="Slide Metric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7" l="1"/>
  <c r="C14" i="6"/>
  <c r="C11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C12" i="6" s="1"/>
  <c r="B61" i="5"/>
  <c r="B56" i="5"/>
  <c r="B51" i="5"/>
  <c r="B41" i="5"/>
  <c r="B45" i="5" s="1"/>
  <c r="B24" i="5"/>
  <c r="B19" i="5"/>
  <c r="B18" i="5"/>
  <c r="B20" i="5" s="1"/>
  <c r="B21" i="5" s="1"/>
  <c r="B21" i="8" s="1"/>
  <c r="B12" i="5"/>
  <c r="B11" i="5"/>
  <c r="B10" i="5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K11" i="4"/>
  <c r="J11" i="4"/>
  <c r="T10" i="4"/>
  <c r="T11" i="4" s="1"/>
  <c r="R10" i="4"/>
  <c r="R11" i="4" s="1"/>
  <c r="Q10" i="4"/>
  <c r="Q11" i="4" s="1"/>
  <c r="P10" i="4"/>
  <c r="P11" i="4" s="1"/>
  <c r="O10" i="4"/>
  <c r="O11" i="4" s="1"/>
  <c r="K10" i="4"/>
  <c r="J10" i="4"/>
  <c r="C23" i="2"/>
  <c r="C17" i="2"/>
  <c r="C8" i="2"/>
  <c r="C7" i="2"/>
  <c r="D7" i="2" s="1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C6" i="2"/>
  <c r="B74" i="1"/>
  <c r="B11" i="8" s="1"/>
  <c r="B73" i="1"/>
  <c r="D47" i="1"/>
  <c r="C47" i="1"/>
  <c r="S10" i="4" s="1"/>
  <c r="S11" i="4" s="1"/>
  <c r="B47" i="1"/>
  <c r="B36" i="1"/>
  <c r="B29" i="1"/>
  <c r="B28" i="1"/>
  <c r="B44" i="5" s="1"/>
  <c r="C8" i="1"/>
  <c r="C7" i="1"/>
  <c r="AL10" i="4" l="1"/>
  <c r="AL11" i="4" s="1"/>
  <c r="Z10" i="4"/>
  <c r="Z11" i="4" s="1"/>
  <c r="AK10" i="4"/>
  <c r="AK11" i="4" s="1"/>
  <c r="Y10" i="4"/>
  <c r="Y11" i="4" s="1"/>
  <c r="AJ10" i="4"/>
  <c r="AJ11" i="4" s="1"/>
  <c r="X10" i="4"/>
  <c r="X11" i="4" s="1"/>
  <c r="AA10" i="4"/>
  <c r="AA11" i="4" s="1"/>
  <c r="W10" i="4"/>
  <c r="W11" i="4" s="1"/>
  <c r="B60" i="5"/>
  <c r="B62" i="5" s="1"/>
  <c r="V10" i="4"/>
  <c r="V11" i="4" s="1"/>
  <c r="U10" i="4"/>
  <c r="U11" i="4" s="1"/>
  <c r="AH10" i="4"/>
  <c r="AH11" i="4" s="1"/>
  <c r="AG10" i="4"/>
  <c r="AG11" i="4" s="1"/>
  <c r="AB10" i="4"/>
  <c r="AB11" i="4" s="1"/>
  <c r="AE10" i="4"/>
  <c r="AE11" i="4" s="1"/>
  <c r="AI10" i="4"/>
  <c r="AI11" i="4" s="1"/>
  <c r="AF10" i="4"/>
  <c r="AF11" i="4" s="1"/>
  <c r="AD10" i="4"/>
  <c r="AD11" i="4" s="1"/>
  <c r="AC10" i="4"/>
  <c r="AC11" i="4" s="1"/>
  <c r="C9" i="2"/>
  <c r="C11" i="2" s="1"/>
  <c r="D6" i="2"/>
  <c r="H10" i="4"/>
  <c r="H11" i="4" s="1"/>
  <c r="G10" i="4"/>
  <c r="G11" i="4" s="1"/>
  <c r="F10" i="4"/>
  <c r="F11" i="4" s="1"/>
  <c r="D10" i="4"/>
  <c r="D11" i="4" s="1"/>
  <c r="B50" i="5"/>
  <c r="B52" i="5" s="1"/>
  <c r="C10" i="4"/>
  <c r="C11" i="4" s="1"/>
  <c r="E10" i="4"/>
  <c r="E11" i="4" s="1"/>
  <c r="B10" i="8"/>
  <c r="B12" i="8"/>
  <c r="B46" i="5"/>
  <c r="B47" i="5" s="1"/>
  <c r="B23" i="5"/>
  <c r="B25" i="5" s="1"/>
  <c r="B26" i="5" s="1"/>
  <c r="B22" i="8" s="1"/>
  <c r="B13" i="5"/>
  <c r="B6" i="5"/>
  <c r="B7" i="5"/>
  <c r="B5" i="5"/>
  <c r="B20" i="8" s="1"/>
  <c r="B18" i="8"/>
  <c r="B14" i="5"/>
  <c r="B16" i="8" s="1"/>
  <c r="B48" i="8"/>
  <c r="B49" i="8" s="1"/>
  <c r="N10" i="4"/>
  <c r="N11" i="4" s="1"/>
  <c r="B55" i="5"/>
  <c r="B57" i="5" s="1"/>
  <c r="M10" i="4"/>
  <c r="M11" i="4" s="1"/>
  <c r="L10" i="4"/>
  <c r="L11" i="4" s="1"/>
  <c r="I10" i="4"/>
  <c r="I11" i="4" s="1"/>
  <c r="B53" i="5" l="1"/>
  <c r="B63" i="5"/>
  <c r="B58" i="5"/>
  <c r="C14" i="2"/>
  <c r="C13" i="2"/>
  <c r="C12" i="2"/>
  <c r="E6" i="2"/>
  <c r="B15" i="5"/>
  <c r="B17" i="8" s="1"/>
  <c r="B19" i="8"/>
  <c r="F6" i="2" l="1"/>
  <c r="C18" i="2"/>
  <c r="C11" i="3"/>
  <c r="C15" i="2"/>
  <c r="C6" i="4" l="1"/>
  <c r="C20" i="2"/>
  <c r="C19" i="2"/>
  <c r="G6" i="2"/>
  <c r="C21" i="2" l="1"/>
  <c r="D17" i="2" s="1"/>
  <c r="H6" i="2"/>
  <c r="C12" i="3"/>
  <c r="C24" i="2"/>
  <c r="C6" i="3" l="1"/>
  <c r="C25" i="2"/>
  <c r="C13" i="3" s="1"/>
  <c r="C14" i="3" s="1"/>
  <c r="I6" i="2"/>
  <c r="J6" i="2" l="1"/>
  <c r="C26" i="2"/>
  <c r="C7" i="3" l="1"/>
  <c r="C8" i="3" s="1"/>
  <c r="D23" i="2"/>
  <c r="C29" i="2"/>
  <c r="C28" i="2"/>
  <c r="D8" i="2"/>
  <c r="D9" i="2" s="1"/>
  <c r="D11" i="2" s="1"/>
  <c r="K6" i="2"/>
  <c r="L6" i="2" l="1"/>
  <c r="B4" i="7"/>
  <c r="C13" i="4"/>
  <c r="C14" i="4"/>
  <c r="C30" i="2"/>
  <c r="D13" i="2"/>
  <c r="D12" i="2"/>
  <c r="D14" i="2"/>
  <c r="B5" i="7"/>
  <c r="C7" i="4"/>
  <c r="C8" i="4" s="1"/>
  <c r="C18" i="3"/>
  <c r="B6" i="7"/>
  <c r="C9" i="3"/>
  <c r="B7" i="7" s="1"/>
  <c r="C16" i="3"/>
  <c r="D11" i="3" l="1"/>
  <c r="D18" i="2"/>
  <c r="D15" i="2"/>
  <c r="C6" i="6"/>
  <c r="C16" i="4"/>
  <c r="C18" i="4" s="1"/>
  <c r="C20" i="4" s="1"/>
  <c r="C17" i="3"/>
  <c r="C21" i="4"/>
  <c r="C22" i="4" s="1"/>
  <c r="B10" i="7" s="1"/>
  <c r="M6" i="2"/>
  <c r="C7" i="6" l="1"/>
  <c r="C16" i="6" s="1"/>
  <c r="C23" i="4"/>
  <c r="C15" i="6"/>
  <c r="N6" i="2"/>
  <c r="D6" i="4"/>
  <c r="D20" i="2"/>
  <c r="D19" i="2"/>
  <c r="C8" i="6" l="1"/>
  <c r="C17" i="6"/>
  <c r="C18" i="6" s="1"/>
  <c r="D14" i="6" s="1"/>
  <c r="D21" i="2"/>
  <c r="D6" i="3" s="1"/>
  <c r="O6" i="2"/>
  <c r="B9" i="7"/>
  <c r="C24" i="4"/>
  <c r="C21" i="6"/>
  <c r="C20" i="6"/>
  <c r="D12" i="3"/>
  <c r="D24" i="2"/>
  <c r="B8" i="7" l="1"/>
  <c r="E17" i="2"/>
  <c r="P6" i="2"/>
  <c r="D25" i="2"/>
  <c r="D13" i="3" s="1"/>
  <c r="D19" i="3" s="1"/>
  <c r="C11" i="7" s="1"/>
  <c r="Q6" i="2" l="1"/>
  <c r="D26" i="2"/>
  <c r="D14" i="3"/>
  <c r="D7" i="3" l="1"/>
  <c r="D8" i="3" s="1"/>
  <c r="E23" i="2"/>
  <c r="D29" i="2"/>
  <c r="D28" i="2"/>
  <c r="E8" i="2"/>
  <c r="E9" i="2" s="1"/>
  <c r="E11" i="2" s="1"/>
  <c r="R6" i="2"/>
  <c r="S6" i="2" l="1"/>
  <c r="C5" i="7"/>
  <c r="D7" i="4"/>
  <c r="D8" i="4" s="1"/>
  <c r="D18" i="3"/>
  <c r="E13" i="2"/>
  <c r="E12" i="2"/>
  <c r="E14" i="2"/>
  <c r="C4" i="7"/>
  <c r="D13" i="4"/>
  <c r="D14" i="4"/>
  <c r="D30" i="2"/>
  <c r="C6" i="7"/>
  <c r="D11" i="6"/>
  <c r="D12" i="6" s="1"/>
  <c r="D9" i="3"/>
  <c r="C7" i="7" s="1"/>
  <c r="D16" i="3"/>
  <c r="E15" i="2" l="1"/>
  <c r="E6" i="4" s="1"/>
  <c r="D21" i="4"/>
  <c r="D22" i="4" s="1"/>
  <c r="C10" i="7" s="1"/>
  <c r="D6" i="6"/>
  <c r="D16" i="4"/>
  <c r="D18" i="4" s="1"/>
  <c r="D20" i="4" s="1"/>
  <c r="D17" i="3"/>
  <c r="E11" i="3"/>
  <c r="E18" i="2"/>
  <c r="T6" i="2"/>
  <c r="D7" i="6" l="1"/>
  <c r="D16" i="6" s="1"/>
  <c r="D23" i="4"/>
  <c r="D15" i="6"/>
  <c r="U6" i="2"/>
  <c r="E20" i="2"/>
  <c r="E19" i="2"/>
  <c r="D8" i="6" l="1"/>
  <c r="D17" i="6"/>
  <c r="D18" i="6" s="1"/>
  <c r="E14" i="6" s="1"/>
  <c r="E12" i="3"/>
  <c r="E24" i="2"/>
  <c r="E21" i="2"/>
  <c r="V6" i="2"/>
  <c r="C9" i="7"/>
  <c r="D24" i="4"/>
  <c r="D20" i="6" l="1"/>
  <c r="C8" i="7"/>
  <c r="D21" i="6"/>
  <c r="W6" i="2"/>
  <c r="E6" i="3"/>
  <c r="F17" i="2"/>
  <c r="E25" i="2"/>
  <c r="E13" i="3" s="1"/>
  <c r="E19" i="3" s="1"/>
  <c r="D11" i="7" s="1"/>
  <c r="E14" i="3" l="1"/>
  <c r="E26" i="2"/>
  <c r="X6" i="2"/>
  <c r="Y6" i="2" l="1"/>
  <c r="F23" i="2"/>
  <c r="E7" i="3"/>
  <c r="E8" i="3" s="1"/>
  <c r="E29" i="2"/>
  <c r="E28" i="2"/>
  <c r="F8" i="2"/>
  <c r="F9" i="2" s="1"/>
  <c r="F11" i="2" s="1"/>
  <c r="D6" i="7" l="1"/>
  <c r="E11" i="6"/>
  <c r="E12" i="6" s="1"/>
  <c r="E16" i="3"/>
  <c r="E9" i="3"/>
  <c r="D7" i="7" s="1"/>
  <c r="F13" i="2"/>
  <c r="F12" i="2"/>
  <c r="F14" i="2"/>
  <c r="D4" i="7"/>
  <c r="E14" i="4"/>
  <c r="E13" i="4"/>
  <c r="E30" i="2"/>
  <c r="D5" i="7"/>
  <c r="E18" i="3"/>
  <c r="E7" i="4"/>
  <c r="E8" i="4" s="1"/>
  <c r="Z6" i="2"/>
  <c r="F18" i="2" l="1"/>
  <c r="F11" i="3"/>
  <c r="AA6" i="2"/>
  <c r="F15" i="2"/>
  <c r="E6" i="6"/>
  <c r="E21" i="4"/>
  <c r="E22" i="4" s="1"/>
  <c r="D10" i="7" s="1"/>
  <c r="E16" i="4"/>
  <c r="E18" i="4" s="1"/>
  <c r="E20" i="4" s="1"/>
  <c r="E17" i="3"/>
  <c r="E7" i="6" l="1"/>
  <c r="E16" i="6" s="1"/>
  <c r="E23" i="4"/>
  <c r="E15" i="6"/>
  <c r="E17" i="6" s="1"/>
  <c r="E18" i="6" s="1"/>
  <c r="E8" i="6"/>
  <c r="F6" i="4"/>
  <c r="AB6" i="2"/>
  <c r="F19" i="2"/>
  <c r="F20" i="2"/>
  <c r="AC6" i="2" l="1"/>
  <c r="F21" i="2"/>
  <c r="D9" i="7"/>
  <c r="E24" i="4"/>
  <c r="E20" i="6"/>
  <c r="E21" i="6"/>
  <c r="F14" i="6"/>
  <c r="D8" i="7"/>
  <c r="F12" i="3"/>
  <c r="F24" i="2"/>
  <c r="AD6" i="2" l="1"/>
  <c r="F6" i="3"/>
  <c r="G17" i="2"/>
  <c r="F25" i="2"/>
  <c r="F13" i="3" s="1"/>
  <c r="F19" i="3" s="1"/>
  <c r="E11" i="7" s="1"/>
  <c r="F26" i="2" l="1"/>
  <c r="AE6" i="2"/>
  <c r="F14" i="3"/>
  <c r="AF6" i="2" l="1"/>
  <c r="G23" i="2"/>
  <c r="F7" i="3"/>
  <c r="F8" i="3" s="1"/>
  <c r="F28" i="2"/>
  <c r="F29" i="2"/>
  <c r="G8" i="2"/>
  <c r="G9" i="2" s="1"/>
  <c r="G11" i="2" s="1"/>
  <c r="E5" i="7" l="1"/>
  <c r="F18" i="3"/>
  <c r="F7" i="4"/>
  <c r="F8" i="4" s="1"/>
  <c r="E4" i="7"/>
  <c r="F14" i="4"/>
  <c r="F13" i="4"/>
  <c r="F30" i="2"/>
  <c r="G13" i="2"/>
  <c r="G12" i="2"/>
  <c r="G14" i="2"/>
  <c r="E6" i="7"/>
  <c r="F11" i="6"/>
  <c r="F12" i="6" s="1"/>
  <c r="F16" i="3"/>
  <c r="F9" i="3"/>
  <c r="E7" i="7" s="1"/>
  <c r="AG6" i="2"/>
  <c r="G15" i="2" l="1"/>
  <c r="G6" i="4"/>
  <c r="G11" i="3"/>
  <c r="G18" i="2"/>
  <c r="AH6" i="2"/>
  <c r="F6" i="6"/>
  <c r="F21" i="4"/>
  <c r="F22" i="4" s="1"/>
  <c r="E10" i="7" s="1"/>
  <c r="F16" i="4"/>
  <c r="F18" i="4" s="1"/>
  <c r="F20" i="4" s="1"/>
  <c r="F7" i="6" s="1"/>
  <c r="F16" i="6" s="1"/>
  <c r="F17" i="3"/>
  <c r="F15" i="6" l="1"/>
  <c r="F17" i="6" s="1"/>
  <c r="F18" i="6" s="1"/>
  <c r="F8" i="6"/>
  <c r="AI6" i="2"/>
  <c r="G20" i="2"/>
  <c r="G19" i="2"/>
  <c r="F23" i="4"/>
  <c r="G12" i="3" l="1"/>
  <c r="G24" i="2"/>
  <c r="G21" i="2"/>
  <c r="AJ6" i="2"/>
  <c r="F20" i="6"/>
  <c r="F21" i="6"/>
  <c r="E9" i="7"/>
  <c r="F24" i="4"/>
  <c r="G14" i="6"/>
  <c r="E8" i="7"/>
  <c r="G6" i="3" l="1"/>
  <c r="H17" i="2"/>
  <c r="G25" i="2"/>
  <c r="G13" i="3" s="1"/>
  <c r="G19" i="3" s="1"/>
  <c r="F11" i="7" s="1"/>
  <c r="AK6" i="2"/>
  <c r="G26" i="2" l="1"/>
  <c r="G14" i="3"/>
  <c r="AL6" i="2"/>
  <c r="H23" i="2" l="1"/>
  <c r="G7" i="3"/>
  <c r="G8" i="3" s="1"/>
  <c r="G29" i="2"/>
  <c r="G28" i="2"/>
  <c r="H8" i="2"/>
  <c r="H9" i="2" s="1"/>
  <c r="H11" i="2" s="1"/>
  <c r="F4" i="7" l="1"/>
  <c r="G14" i="4"/>
  <c r="G30" i="2"/>
  <c r="G13" i="4"/>
  <c r="F5" i="7"/>
  <c r="G7" i="4"/>
  <c r="G8" i="4" s="1"/>
  <c r="G18" i="3"/>
  <c r="H13" i="2"/>
  <c r="H14" i="2"/>
  <c r="H12" i="2"/>
  <c r="F6" i="7"/>
  <c r="G11" i="6"/>
  <c r="G12" i="6" s="1"/>
  <c r="G9" i="3"/>
  <c r="F7" i="7" s="1"/>
  <c r="G16" i="3"/>
  <c r="H15" i="2" l="1"/>
  <c r="H6" i="4" s="1"/>
  <c r="G21" i="4"/>
  <c r="G22" i="4" s="1"/>
  <c r="F10" i="7" s="1"/>
  <c r="G16" i="4"/>
  <c r="G18" i="4" s="1"/>
  <c r="G20" i="4" s="1"/>
  <c r="G6" i="6"/>
  <c r="G17" i="3"/>
  <c r="H11" i="3"/>
  <c r="H18" i="2"/>
  <c r="G7" i="6" l="1"/>
  <c r="G16" i="6" s="1"/>
  <c r="G23" i="4"/>
  <c r="G15" i="6"/>
  <c r="H20" i="2"/>
  <c r="H19" i="2"/>
  <c r="G8" i="6" l="1"/>
  <c r="G21" i="6" s="1"/>
  <c r="G17" i="6"/>
  <c r="G18" i="6" s="1"/>
  <c r="F8" i="7" s="1"/>
  <c r="H21" i="2"/>
  <c r="H6" i="3" s="1"/>
  <c r="H12" i="3"/>
  <c r="H24" i="2"/>
  <c r="F9" i="7"/>
  <c r="G24" i="4"/>
  <c r="I17" i="2" l="1"/>
  <c r="G20" i="6"/>
  <c r="H14" i="6"/>
  <c r="H25" i="2"/>
  <c r="H13" i="3" s="1"/>
  <c r="H19" i="3" s="1"/>
  <c r="G11" i="7" s="1"/>
  <c r="H14" i="3" l="1"/>
  <c r="H26" i="2"/>
  <c r="H7" i="3" l="1"/>
  <c r="H8" i="3" s="1"/>
  <c r="I23" i="2"/>
  <c r="H29" i="2"/>
  <c r="H28" i="2"/>
  <c r="I8" i="2"/>
  <c r="I9" i="2" s="1"/>
  <c r="I11" i="2" s="1"/>
  <c r="I12" i="2" l="1"/>
  <c r="I14" i="2"/>
  <c r="I13" i="2"/>
  <c r="G4" i="7"/>
  <c r="H14" i="4"/>
  <c r="H30" i="2"/>
  <c r="H13" i="4"/>
  <c r="G5" i="7"/>
  <c r="H18" i="3"/>
  <c r="H7" i="4"/>
  <c r="H8" i="4" s="1"/>
  <c r="G6" i="7"/>
  <c r="H11" i="6"/>
  <c r="H12" i="6" s="1"/>
  <c r="H9" i="3"/>
  <c r="G7" i="7" s="1"/>
  <c r="H16" i="3"/>
  <c r="I15" i="2" l="1"/>
  <c r="H21" i="4"/>
  <c r="H22" i="4" s="1"/>
  <c r="G10" i="7" s="1"/>
  <c r="H16" i="4"/>
  <c r="H18" i="4" s="1"/>
  <c r="H20" i="4" s="1"/>
  <c r="H6" i="6"/>
  <c r="H17" i="3"/>
  <c r="I6" i="4"/>
  <c r="I11" i="3"/>
  <c r="I18" i="2"/>
  <c r="H7" i="6" l="1"/>
  <c r="H16" i="6" s="1"/>
  <c r="H23" i="4"/>
  <c r="H15" i="6"/>
  <c r="I20" i="2"/>
  <c r="I19" i="2"/>
  <c r="H8" i="6" l="1"/>
  <c r="H17" i="6"/>
  <c r="H18" i="6" s="1"/>
  <c r="I14" i="6" s="1"/>
  <c r="I12" i="3"/>
  <c r="I24" i="2"/>
  <c r="I21" i="2"/>
  <c r="G9" i="7"/>
  <c r="H24" i="4"/>
  <c r="G8" i="7" l="1"/>
  <c r="H20" i="6"/>
  <c r="H21" i="6"/>
  <c r="I25" i="2"/>
  <c r="I13" i="3" s="1"/>
  <c r="I19" i="3" s="1"/>
  <c r="H11" i="7" s="1"/>
  <c r="J17" i="2"/>
  <c r="I6" i="3"/>
  <c r="I26" i="2" l="1"/>
  <c r="J23" i="2" s="1"/>
  <c r="I14" i="3"/>
  <c r="I7" i="3" l="1"/>
  <c r="I8" i="3" s="1"/>
  <c r="H6" i="7" s="1"/>
  <c r="I28" i="2"/>
  <c r="I29" i="2"/>
  <c r="I18" i="3" s="1"/>
  <c r="J8" i="2"/>
  <c r="J9" i="2" s="1"/>
  <c r="J11" i="2" s="1"/>
  <c r="I11" i="6" l="1"/>
  <c r="I12" i="6" s="1"/>
  <c r="I16" i="3"/>
  <c r="I9" i="3"/>
  <c r="H7" i="7" s="1"/>
  <c r="J13" i="2"/>
  <c r="J14" i="2"/>
  <c r="J12" i="2"/>
  <c r="I7" i="4"/>
  <c r="I8" i="4" s="1"/>
  <c r="I21" i="4" s="1"/>
  <c r="I22" i="4" s="1"/>
  <c r="H10" i="7" s="1"/>
  <c r="H5" i="7"/>
  <c r="I14" i="4"/>
  <c r="I30" i="2"/>
  <c r="H4" i="7"/>
  <c r="I13" i="4"/>
  <c r="I16" i="4"/>
  <c r="I6" i="6"/>
  <c r="I17" i="3"/>
  <c r="J15" i="2" l="1"/>
  <c r="J6" i="4" s="1"/>
  <c r="J11" i="3"/>
  <c r="J18" i="2"/>
  <c r="I18" i="4"/>
  <c r="I20" i="4" s="1"/>
  <c r="I7" i="6" s="1"/>
  <c r="I16" i="6" s="1"/>
  <c r="I15" i="6"/>
  <c r="I23" i="4" l="1"/>
  <c r="H9" i="7" s="1"/>
  <c r="I17" i="6"/>
  <c r="I18" i="6" s="1"/>
  <c r="J14" i="6" s="1"/>
  <c r="I8" i="6"/>
  <c r="J19" i="2"/>
  <c r="J20" i="2"/>
  <c r="I20" i="6" l="1"/>
  <c r="I21" i="6"/>
  <c r="I24" i="4"/>
  <c r="H8" i="7"/>
  <c r="J12" i="3"/>
  <c r="J21" i="2"/>
  <c r="J24" i="2"/>
  <c r="J25" i="2" s="1"/>
  <c r="J13" i="3" s="1"/>
  <c r="J26" i="2" l="1"/>
  <c r="K23" i="2" s="1"/>
  <c r="J6" i="3"/>
  <c r="K17" i="2"/>
  <c r="J14" i="3"/>
  <c r="J19" i="3"/>
  <c r="I11" i="7" s="1"/>
  <c r="J28" i="2" l="1"/>
  <c r="I4" i="7" s="1"/>
  <c r="K8" i="2"/>
  <c r="K9" i="2" s="1"/>
  <c r="K11" i="2" s="1"/>
  <c r="J29" i="2"/>
  <c r="J7" i="3"/>
  <c r="J8" i="3" s="1"/>
  <c r="I6" i="7" s="1"/>
  <c r="J14" i="4"/>
  <c r="K14" i="2"/>
  <c r="K13" i="2"/>
  <c r="K12" i="2"/>
  <c r="I5" i="7"/>
  <c r="J30" i="2" l="1"/>
  <c r="J13" i="4"/>
  <c r="J18" i="3"/>
  <c r="J16" i="3"/>
  <c r="J6" i="6" s="1"/>
  <c r="J9" i="3"/>
  <c r="I7" i="7" s="1"/>
  <c r="J11" i="6"/>
  <c r="J12" i="6" s="1"/>
  <c r="J7" i="4"/>
  <c r="J8" i="4" s="1"/>
  <c r="K18" i="2"/>
  <c r="K11" i="3"/>
  <c r="J21" i="4"/>
  <c r="J22" i="4" s="1"/>
  <c r="I10" i="7" s="1"/>
  <c r="J16" i="4"/>
  <c r="J18" i="4" s="1"/>
  <c r="J20" i="4" s="1"/>
  <c r="J17" i="3"/>
  <c r="K15" i="2"/>
  <c r="J7" i="6" l="1"/>
  <c r="J16" i="6" s="1"/>
  <c r="J23" i="4"/>
  <c r="J15" i="6"/>
  <c r="K6" i="4"/>
  <c r="K19" i="2"/>
  <c r="K20" i="2"/>
  <c r="J8" i="6" l="1"/>
  <c r="J17" i="6"/>
  <c r="J18" i="6" s="1"/>
  <c r="I8" i="7" s="1"/>
  <c r="K21" i="2"/>
  <c r="L17" i="2" s="1"/>
  <c r="K6" i="3"/>
  <c r="I9" i="7"/>
  <c r="J24" i="4"/>
  <c r="K12" i="3"/>
  <c r="K24" i="2"/>
  <c r="K14" i="6" l="1"/>
  <c r="J20" i="6"/>
  <c r="J21" i="6"/>
  <c r="K25" i="2"/>
  <c r="K13" i="3" s="1"/>
  <c r="K19" i="3" s="1"/>
  <c r="J11" i="7" s="1"/>
  <c r="K14" i="3" l="1"/>
  <c r="K26" i="2"/>
  <c r="K7" i="3" s="1"/>
  <c r="K8" i="3" s="1"/>
  <c r="L23" i="2"/>
  <c r="K29" i="2"/>
  <c r="L8" i="2"/>
  <c r="L9" i="2" s="1"/>
  <c r="L11" i="2" s="1"/>
  <c r="K28" i="2"/>
  <c r="J4" i="7" l="1"/>
  <c r="K14" i="4"/>
  <c r="K30" i="2"/>
  <c r="K13" i="4"/>
  <c r="L12" i="2"/>
  <c r="L14" i="2"/>
  <c r="L13" i="2"/>
  <c r="L15" i="2" s="1"/>
  <c r="J5" i="7"/>
  <c r="K18" i="3"/>
  <c r="K7" i="4"/>
  <c r="K8" i="4" s="1"/>
  <c r="J6" i="7"/>
  <c r="K11" i="6"/>
  <c r="K12" i="6" s="1"/>
  <c r="K16" i="3"/>
  <c r="K9" i="3"/>
  <c r="J7" i="7" s="1"/>
  <c r="K21" i="4" l="1"/>
  <c r="K22" i="4" s="1"/>
  <c r="J10" i="7" s="1"/>
  <c r="K6" i="6"/>
  <c r="K16" i="4"/>
  <c r="K18" i="4" s="1"/>
  <c r="K20" i="4" s="1"/>
  <c r="K17" i="3"/>
  <c r="L6" i="4"/>
  <c r="L11" i="3"/>
  <c r="L18" i="2"/>
  <c r="K7" i="6" l="1"/>
  <c r="K16" i="6" s="1"/>
  <c r="K23" i="4"/>
  <c r="K15" i="6"/>
  <c r="L19" i="2"/>
  <c r="L20" i="2"/>
  <c r="K17" i="6" l="1"/>
  <c r="K18" i="6" s="1"/>
  <c r="K8" i="6"/>
  <c r="L12" i="3"/>
  <c r="L24" i="2"/>
  <c r="K20" i="6"/>
  <c r="K21" i="6"/>
  <c r="L21" i="2"/>
  <c r="L14" i="6"/>
  <c r="J8" i="7"/>
  <c r="J9" i="7"/>
  <c r="K24" i="4"/>
  <c r="L6" i="3" l="1"/>
  <c r="M17" i="2"/>
  <c r="L25" i="2"/>
  <c r="L13" i="3" s="1"/>
  <c r="L19" i="3" s="1"/>
  <c r="K11" i="7" s="1"/>
  <c r="L26" i="2" l="1"/>
  <c r="L7" i="3" s="1"/>
  <c r="L8" i="3" s="1"/>
  <c r="L14" i="3"/>
  <c r="M23" i="2" l="1"/>
  <c r="L29" i="2"/>
  <c r="M8" i="2"/>
  <c r="M9" i="2" s="1"/>
  <c r="M11" i="2" s="1"/>
  <c r="M13" i="2" s="1"/>
  <c r="L28" i="2"/>
  <c r="L14" i="4" s="1"/>
  <c r="K6" i="7"/>
  <c r="L11" i="6"/>
  <c r="L12" i="6" s="1"/>
  <c r="L16" i="3"/>
  <c r="L9" i="3"/>
  <c r="K7" i="7" s="1"/>
  <c r="K5" i="7"/>
  <c r="L18" i="3"/>
  <c r="L7" i="4"/>
  <c r="L8" i="4" s="1"/>
  <c r="M14" i="2" l="1"/>
  <c r="L30" i="2"/>
  <c r="L13" i="4"/>
  <c r="K4" i="7"/>
  <c r="M12" i="2"/>
  <c r="M15" i="2"/>
  <c r="M6" i="4"/>
  <c r="M11" i="3"/>
  <c r="M18" i="2"/>
  <c r="L16" i="4"/>
  <c r="L18" i="4" s="1"/>
  <c r="L20" i="4" s="1"/>
  <c r="L6" i="6"/>
  <c r="L21" i="4"/>
  <c r="L22" i="4" s="1"/>
  <c r="K10" i="7" s="1"/>
  <c r="L17" i="3"/>
  <c r="L7" i="6" l="1"/>
  <c r="L16" i="6" s="1"/>
  <c r="L23" i="4"/>
  <c r="L15" i="6"/>
  <c r="L8" i="6"/>
  <c r="M20" i="2"/>
  <c r="M19" i="2"/>
  <c r="L17" i="6" l="1"/>
  <c r="L18" i="6" s="1"/>
  <c r="L20" i="6" s="1"/>
  <c r="L21" i="6"/>
  <c r="M12" i="3"/>
  <c r="M24" i="2"/>
  <c r="M21" i="2"/>
  <c r="M14" i="6"/>
  <c r="K8" i="7"/>
  <c r="K9" i="7"/>
  <c r="L24" i="4"/>
  <c r="M6" i="3" l="1"/>
  <c r="N17" i="2"/>
  <c r="M25" i="2"/>
  <c r="M13" i="3" s="1"/>
  <c r="M19" i="3" s="1"/>
  <c r="L11" i="7" s="1"/>
  <c r="M14" i="3" l="1"/>
  <c r="M26" i="2"/>
  <c r="M7" i="3" l="1"/>
  <c r="M8" i="3" s="1"/>
  <c r="N23" i="2"/>
  <c r="M29" i="2"/>
  <c r="N8" i="2"/>
  <c r="N9" i="2" s="1"/>
  <c r="N11" i="2" s="1"/>
  <c r="M28" i="2"/>
  <c r="L4" i="7" l="1"/>
  <c r="M14" i="4"/>
  <c r="M13" i="4"/>
  <c r="M30" i="2"/>
  <c r="N14" i="2"/>
  <c r="N12" i="2"/>
  <c r="N13" i="2"/>
  <c r="L5" i="7"/>
  <c r="M18" i="3"/>
  <c r="M7" i="4"/>
  <c r="M8" i="4" s="1"/>
  <c r="L6" i="7"/>
  <c r="M11" i="6"/>
  <c r="M12" i="6" s="1"/>
  <c r="M16" i="3"/>
  <c r="M9" i="3"/>
  <c r="L7" i="7" s="1"/>
  <c r="N15" i="2" l="1"/>
  <c r="N6" i="4" s="1"/>
  <c r="N11" i="3"/>
  <c r="N18" i="2"/>
  <c r="M16" i="4"/>
  <c r="M18" i="4" s="1"/>
  <c r="M20" i="4" s="1"/>
  <c r="M6" i="6"/>
  <c r="M21" i="4"/>
  <c r="M22" i="4" s="1"/>
  <c r="L10" i="7" s="1"/>
  <c r="M17" i="3"/>
  <c r="M7" i="6" l="1"/>
  <c r="M16" i="6" s="1"/>
  <c r="M23" i="4"/>
  <c r="M15" i="6"/>
  <c r="M8" i="6"/>
  <c r="N19" i="2"/>
  <c r="N20" i="2"/>
  <c r="M17" i="6" l="1"/>
  <c r="M18" i="6" s="1"/>
  <c r="N12" i="3"/>
  <c r="N24" i="2"/>
  <c r="L9" i="7"/>
  <c r="M24" i="4"/>
  <c r="N21" i="2"/>
  <c r="M20" i="6"/>
  <c r="M21" i="6"/>
  <c r="N14" i="6"/>
  <c r="L8" i="7"/>
  <c r="N6" i="3" l="1"/>
  <c r="O17" i="2"/>
  <c r="N25" i="2"/>
  <c r="N13" i="3" s="1"/>
  <c r="N19" i="3" s="1"/>
  <c r="M11" i="7" l="1"/>
  <c r="B36" i="5"/>
  <c r="N26" i="2"/>
  <c r="N14" i="3"/>
  <c r="N7" i="3" l="1"/>
  <c r="N8" i="3" s="1"/>
  <c r="O23" i="2"/>
  <c r="N29" i="2"/>
  <c r="O8" i="2"/>
  <c r="O9" i="2" s="1"/>
  <c r="O11" i="2" s="1"/>
  <c r="N28" i="2"/>
  <c r="M4" i="7" l="1"/>
  <c r="N14" i="4"/>
  <c r="N13" i="4"/>
  <c r="B29" i="5"/>
  <c r="N30" i="2"/>
  <c r="B31" i="5" s="1"/>
  <c r="B30" i="5"/>
  <c r="M5" i="7"/>
  <c r="N7" i="4"/>
  <c r="N8" i="4" s="1"/>
  <c r="N18" i="3"/>
  <c r="O14" i="2"/>
  <c r="O12" i="2"/>
  <c r="O13" i="2"/>
  <c r="M6" i="7"/>
  <c r="N11" i="6"/>
  <c r="N12" i="6" s="1"/>
  <c r="B32" i="5"/>
  <c r="N16" i="3"/>
  <c r="N9" i="3"/>
  <c r="O11" i="3" l="1"/>
  <c r="O18" i="2"/>
  <c r="M7" i="7"/>
  <c r="B33" i="5"/>
  <c r="N6" i="6"/>
  <c r="N16" i="4"/>
  <c r="N18" i="4" s="1"/>
  <c r="N20" i="4" s="1"/>
  <c r="N21" i="4"/>
  <c r="N22" i="4" s="1"/>
  <c r="B41" i="8"/>
  <c r="N17" i="3"/>
  <c r="O15" i="2"/>
  <c r="B34" i="5" l="1"/>
  <c r="B23" i="8"/>
  <c r="B6" i="8"/>
  <c r="M10" i="7"/>
  <c r="N7" i="6"/>
  <c r="N16" i="6" s="1"/>
  <c r="N23" i="4"/>
  <c r="N15" i="6"/>
  <c r="N17" i="6" s="1"/>
  <c r="N18" i="6" s="1"/>
  <c r="N8" i="6"/>
  <c r="O6" i="4"/>
  <c r="O19" i="2"/>
  <c r="O20" i="2"/>
  <c r="M8" i="7" l="1"/>
  <c r="O14" i="6"/>
  <c r="O12" i="3"/>
  <c r="O24" i="2"/>
  <c r="N20" i="6"/>
  <c r="N21" i="6"/>
  <c r="M9" i="7"/>
  <c r="N24" i="4"/>
  <c r="B35" i="5" s="1"/>
  <c r="O21" i="2"/>
  <c r="P17" i="2" l="1"/>
  <c r="O6" i="3"/>
  <c r="O25" i="2"/>
  <c r="O13" i="3" s="1"/>
  <c r="O14" i="3" s="1"/>
  <c r="O19" i="3" l="1"/>
  <c r="N11" i="7" s="1"/>
  <c r="O26" i="2"/>
  <c r="O7" i="3" l="1"/>
  <c r="O8" i="3" s="1"/>
  <c r="P23" i="2"/>
  <c r="P8" i="2"/>
  <c r="P9" i="2" s="1"/>
  <c r="P11" i="2" s="1"/>
  <c r="O29" i="2"/>
  <c r="O28" i="2"/>
  <c r="P14" i="2" l="1"/>
  <c r="P12" i="2"/>
  <c r="P13" i="2"/>
  <c r="N4" i="7"/>
  <c r="O14" i="4"/>
  <c r="O13" i="4"/>
  <c r="O30" i="2"/>
  <c r="N5" i="7"/>
  <c r="O7" i="4"/>
  <c r="O8" i="4" s="1"/>
  <c r="O18" i="3"/>
  <c r="N6" i="7"/>
  <c r="O11" i="6"/>
  <c r="O12" i="6" s="1"/>
  <c r="O9" i="3"/>
  <c r="N7" i="7" s="1"/>
  <c r="O16" i="3"/>
  <c r="O6" i="6" l="1"/>
  <c r="O21" i="4"/>
  <c r="O22" i="4" s="1"/>
  <c r="N10" i="7" s="1"/>
  <c r="O16" i="4"/>
  <c r="O18" i="4" s="1"/>
  <c r="O20" i="4" s="1"/>
  <c r="O17" i="3"/>
  <c r="P15" i="2"/>
  <c r="P11" i="3"/>
  <c r="P18" i="2"/>
  <c r="O7" i="6" l="1"/>
  <c r="O16" i="6" s="1"/>
  <c r="O23" i="4"/>
  <c r="P6" i="4"/>
  <c r="O15" i="6"/>
  <c r="O17" i="6" s="1"/>
  <c r="O18" i="6" s="1"/>
  <c r="O8" i="6"/>
  <c r="P20" i="2"/>
  <c r="P19" i="2"/>
  <c r="P14" i="6" l="1"/>
  <c r="N8" i="7"/>
  <c r="P12" i="3"/>
  <c r="P24" i="2"/>
  <c r="O20" i="6"/>
  <c r="O21" i="6"/>
  <c r="N9" i="7"/>
  <c r="O24" i="4"/>
  <c r="P21" i="2"/>
  <c r="P6" i="3" l="1"/>
  <c r="Q17" i="2"/>
  <c r="P25" i="2"/>
  <c r="P13" i="3" s="1"/>
  <c r="P14" i="3" s="1"/>
  <c r="P19" i="3" l="1"/>
  <c r="O11" i="7" s="1"/>
  <c r="P26" i="2"/>
  <c r="P7" i="3" l="1"/>
  <c r="P8" i="3" s="1"/>
  <c r="Q23" i="2"/>
  <c r="Q8" i="2"/>
  <c r="Q9" i="2" s="1"/>
  <c r="Q11" i="2" s="1"/>
  <c r="P29" i="2"/>
  <c r="P28" i="2"/>
  <c r="O4" i="7" l="1"/>
  <c r="P13" i="4"/>
  <c r="P14" i="4"/>
  <c r="P30" i="2"/>
  <c r="O5" i="7"/>
  <c r="P7" i="4"/>
  <c r="P8" i="4" s="1"/>
  <c r="P18" i="3"/>
  <c r="Q14" i="2"/>
  <c r="Q12" i="2"/>
  <c r="Q13" i="2"/>
  <c r="O6" i="7"/>
  <c r="P11" i="6"/>
  <c r="P12" i="6" s="1"/>
  <c r="P9" i="3"/>
  <c r="O7" i="7" s="1"/>
  <c r="P16" i="3"/>
  <c r="P21" i="4" l="1"/>
  <c r="P22" i="4" s="1"/>
  <c r="O10" i="7" s="1"/>
  <c r="P6" i="6"/>
  <c r="P16" i="4"/>
  <c r="P18" i="4" s="1"/>
  <c r="P20" i="4" s="1"/>
  <c r="P17" i="3"/>
  <c r="Q11" i="3"/>
  <c r="Q18" i="2"/>
  <c r="Q15" i="2"/>
  <c r="P7" i="6" l="1"/>
  <c r="P16" i="6" s="1"/>
  <c r="P23" i="4"/>
  <c r="Q6" i="4"/>
  <c r="P15" i="6"/>
  <c r="P17" i="6" s="1"/>
  <c r="P18" i="6" s="1"/>
  <c r="P8" i="6"/>
  <c r="Q19" i="2"/>
  <c r="Q20" i="2"/>
  <c r="Q14" i="6" l="1"/>
  <c r="O8" i="7"/>
  <c r="Q12" i="3"/>
  <c r="Q24" i="2"/>
  <c r="Q21" i="2"/>
  <c r="P20" i="6"/>
  <c r="P21" i="6"/>
  <c r="O9" i="7"/>
  <c r="P24" i="4"/>
  <c r="Q25" i="2" l="1"/>
  <c r="Q13" i="3" s="1"/>
  <c r="Q14" i="3" s="1"/>
  <c r="Q6" i="3"/>
  <c r="R17" i="2"/>
  <c r="Q19" i="3" l="1"/>
  <c r="P11" i="7" s="1"/>
  <c r="Q26" i="2"/>
  <c r="Q7" i="3" l="1"/>
  <c r="Q8" i="3" s="1"/>
  <c r="R23" i="2"/>
  <c r="R8" i="2"/>
  <c r="R9" i="2" s="1"/>
  <c r="R11" i="2" s="1"/>
  <c r="Q29" i="2"/>
  <c r="Q28" i="2"/>
  <c r="P4" i="7" l="1"/>
  <c r="Q13" i="4"/>
  <c r="Q14" i="4"/>
  <c r="Q30" i="2"/>
  <c r="P5" i="7"/>
  <c r="Q7" i="4"/>
  <c r="Q8" i="4" s="1"/>
  <c r="Q18" i="3"/>
  <c r="R14" i="2"/>
  <c r="R12" i="2"/>
  <c r="R13" i="2"/>
  <c r="P6" i="7"/>
  <c r="Q11" i="6"/>
  <c r="Q12" i="6" s="1"/>
  <c r="Q9" i="3"/>
  <c r="P7" i="7" s="1"/>
  <c r="Q16" i="3"/>
  <c r="R15" i="2" l="1"/>
  <c r="R6" i="4" s="1"/>
  <c r="Q21" i="4"/>
  <c r="Q22" i="4" s="1"/>
  <c r="P10" i="7" s="1"/>
  <c r="Q6" i="6"/>
  <c r="Q16" i="4"/>
  <c r="Q18" i="4" s="1"/>
  <c r="Q20" i="4" s="1"/>
  <c r="Q17" i="3"/>
  <c r="R11" i="3"/>
  <c r="R18" i="2"/>
  <c r="Q7" i="6" l="1"/>
  <c r="Q16" i="6" s="1"/>
  <c r="Q23" i="4"/>
  <c r="R19" i="2"/>
  <c r="R20" i="2"/>
  <c r="Q15" i="6"/>
  <c r="Q8" i="6" l="1"/>
  <c r="Q17" i="6"/>
  <c r="Q18" i="6" s="1"/>
  <c r="R21" i="2"/>
  <c r="Q20" i="6"/>
  <c r="Q21" i="6"/>
  <c r="P9" i="7"/>
  <c r="Q24" i="4"/>
  <c r="R14" i="6"/>
  <c r="P8" i="7"/>
  <c r="S17" i="2"/>
  <c r="R6" i="3"/>
  <c r="R12" i="3"/>
  <c r="R24" i="2"/>
  <c r="R25" i="2" l="1"/>
  <c r="R13" i="3" s="1"/>
  <c r="R19" i="3" s="1"/>
  <c r="Q11" i="7" s="1"/>
  <c r="R14" i="3" l="1"/>
  <c r="R26" i="2"/>
  <c r="R7" i="3" l="1"/>
  <c r="R8" i="3" s="1"/>
  <c r="S23" i="2"/>
  <c r="R29" i="2"/>
  <c r="S8" i="2"/>
  <c r="S9" i="2" s="1"/>
  <c r="S11" i="2" s="1"/>
  <c r="R28" i="2"/>
  <c r="Q4" i="7" l="1"/>
  <c r="R13" i="4"/>
  <c r="R14" i="4"/>
  <c r="R30" i="2"/>
  <c r="S12" i="2"/>
  <c r="S13" i="2"/>
  <c r="S14" i="2"/>
  <c r="Q5" i="7"/>
  <c r="R7" i="4"/>
  <c r="R8" i="4" s="1"/>
  <c r="R18" i="3"/>
  <c r="Q6" i="7"/>
  <c r="R11" i="6"/>
  <c r="R12" i="6" s="1"/>
  <c r="R9" i="3"/>
  <c r="Q7" i="7" s="1"/>
  <c r="R16" i="3"/>
  <c r="S15" i="2" l="1"/>
  <c r="S6" i="4" s="1"/>
  <c r="S11" i="3"/>
  <c r="S18" i="2"/>
  <c r="R6" i="6"/>
  <c r="R16" i="4"/>
  <c r="R18" i="4" s="1"/>
  <c r="R20" i="4" s="1"/>
  <c r="R21" i="4"/>
  <c r="R22" i="4" s="1"/>
  <c r="Q10" i="7" s="1"/>
  <c r="R17" i="3"/>
  <c r="R7" i="6" l="1"/>
  <c r="R16" i="6" s="1"/>
  <c r="R23" i="4"/>
  <c r="R15" i="6"/>
  <c r="R17" i="6" s="1"/>
  <c r="R18" i="6" s="1"/>
  <c r="R8" i="6"/>
  <c r="S20" i="2"/>
  <c r="S19" i="2"/>
  <c r="S21" i="2" l="1"/>
  <c r="S6" i="3"/>
  <c r="T17" i="2"/>
  <c r="S12" i="3"/>
  <c r="S24" i="2"/>
  <c r="S14" i="6"/>
  <c r="Q8" i="7"/>
  <c r="Q9" i="7"/>
  <c r="R24" i="4"/>
  <c r="R20" i="6"/>
  <c r="R21" i="6"/>
  <c r="S25" i="2" l="1"/>
  <c r="S13" i="3" s="1"/>
  <c r="S19" i="3" s="1"/>
  <c r="R11" i="7" s="1"/>
  <c r="S26" i="2" l="1"/>
  <c r="T23" i="2" s="1"/>
  <c r="S14" i="3"/>
  <c r="S29" i="2" l="1"/>
  <c r="T8" i="2"/>
  <c r="T9" i="2" s="1"/>
  <c r="T11" i="2" s="1"/>
  <c r="T14" i="2" s="1"/>
  <c r="S28" i="2"/>
  <c r="S7" i="3"/>
  <c r="S8" i="3" s="1"/>
  <c r="R6" i="7" s="1"/>
  <c r="R5" i="7"/>
  <c r="S7" i="4"/>
  <c r="S8" i="4" s="1"/>
  <c r="S18" i="3"/>
  <c r="R4" i="7"/>
  <c r="S30" i="2"/>
  <c r="S13" i="4"/>
  <c r="S14" i="4"/>
  <c r="T13" i="2"/>
  <c r="T12" i="2"/>
  <c r="S11" i="6"/>
  <c r="S12" i="6" s="1"/>
  <c r="S16" i="3"/>
  <c r="S9" i="3"/>
  <c r="R7" i="7" s="1"/>
  <c r="T11" i="3" l="1"/>
  <c r="T18" i="2"/>
  <c r="T15" i="2"/>
  <c r="S21" i="4"/>
  <c r="S22" i="4" s="1"/>
  <c r="R10" i="7" s="1"/>
  <c r="S6" i="6"/>
  <c r="S16" i="4"/>
  <c r="S18" i="4" s="1"/>
  <c r="S20" i="4" s="1"/>
  <c r="S17" i="3"/>
  <c r="S7" i="6" l="1"/>
  <c r="S16" i="6" s="1"/>
  <c r="S23" i="4"/>
  <c r="S15" i="6"/>
  <c r="T6" i="4"/>
  <c r="T20" i="2"/>
  <c r="T19" i="2"/>
  <c r="S8" i="6" l="1"/>
  <c r="S17" i="6"/>
  <c r="S18" i="6" s="1"/>
  <c r="R8" i="7" s="1"/>
  <c r="T12" i="3"/>
  <c r="T24" i="2"/>
  <c r="T21" i="2"/>
  <c r="S20" i="6"/>
  <c r="S21" i="6"/>
  <c r="R9" i="7"/>
  <c r="S24" i="4"/>
  <c r="T14" i="6" l="1"/>
  <c r="U17" i="2"/>
  <c r="T6" i="3"/>
  <c r="T25" i="2"/>
  <c r="T13" i="3" s="1"/>
  <c r="T19" i="3" s="1"/>
  <c r="S11" i="7" s="1"/>
  <c r="T14" i="3" l="1"/>
  <c r="T26" i="2"/>
  <c r="U23" i="2" s="1"/>
  <c r="T7" i="3"/>
  <c r="T8" i="3" s="1"/>
  <c r="U8" i="2"/>
  <c r="U9" i="2" s="1"/>
  <c r="U11" i="2" s="1"/>
  <c r="T28" i="2"/>
  <c r="T29" i="2"/>
  <c r="S5" i="7" l="1"/>
  <c r="T18" i="3"/>
  <c r="T7" i="4"/>
  <c r="T8" i="4" s="1"/>
  <c r="S6" i="7"/>
  <c r="T11" i="6"/>
  <c r="T12" i="6" s="1"/>
  <c r="T16" i="3"/>
  <c r="T9" i="3"/>
  <c r="S4" i="7"/>
  <c r="T30" i="2"/>
  <c r="T14" i="4"/>
  <c r="T13" i="4"/>
  <c r="U13" i="2"/>
  <c r="U12" i="2"/>
  <c r="U14" i="2"/>
  <c r="B33" i="8" l="1"/>
  <c r="S7" i="7"/>
  <c r="T6" i="6"/>
  <c r="T16" i="4"/>
  <c r="T18" i="4" s="1"/>
  <c r="T20" i="4" s="1"/>
  <c r="T21" i="4"/>
  <c r="T22" i="4" s="1"/>
  <c r="T17" i="3"/>
  <c r="U11" i="3"/>
  <c r="U18" i="2"/>
  <c r="U15" i="2"/>
  <c r="B7" i="8" l="1"/>
  <c r="S10" i="7"/>
  <c r="T7" i="6"/>
  <c r="T16" i="6" s="1"/>
  <c r="T23" i="4"/>
  <c r="T15" i="6"/>
  <c r="U6" i="4"/>
  <c r="U20" i="2"/>
  <c r="U19" i="2"/>
  <c r="T8" i="6" l="1"/>
  <c r="U21" i="2"/>
  <c r="T20" i="6"/>
  <c r="T21" i="6"/>
  <c r="T17" i="6"/>
  <c r="T18" i="6" s="1"/>
  <c r="B34" i="8"/>
  <c r="S9" i="7"/>
  <c r="T24" i="4"/>
  <c r="V17" i="2"/>
  <c r="U6" i="3"/>
  <c r="U12" i="3"/>
  <c r="U24" i="2"/>
  <c r="U25" i="2" l="1"/>
  <c r="U13" i="3" s="1"/>
  <c r="U14" i="3" s="1"/>
  <c r="U14" i="6"/>
  <c r="S8" i="7"/>
  <c r="U19" i="3" l="1"/>
  <c r="T11" i="7" s="1"/>
  <c r="U26" i="2"/>
  <c r="V23" i="2" l="1"/>
  <c r="U7" i="3"/>
  <c r="U8" i="3" s="1"/>
  <c r="U28" i="2"/>
  <c r="V8" i="2"/>
  <c r="V9" i="2" s="1"/>
  <c r="V11" i="2" s="1"/>
  <c r="U29" i="2"/>
  <c r="T5" i="7" l="1"/>
  <c r="U18" i="3"/>
  <c r="U7" i="4"/>
  <c r="U8" i="4" s="1"/>
  <c r="T4" i="7"/>
  <c r="U30" i="2"/>
  <c r="U14" i="4"/>
  <c r="U13" i="4"/>
  <c r="V14" i="2"/>
  <c r="V13" i="2"/>
  <c r="V12" i="2"/>
  <c r="T6" i="7"/>
  <c r="U11" i="6"/>
  <c r="U12" i="6" s="1"/>
  <c r="U9" i="3"/>
  <c r="T7" i="7" s="1"/>
  <c r="U16" i="3"/>
  <c r="V11" i="3" l="1"/>
  <c r="V18" i="2"/>
  <c r="V15" i="2"/>
  <c r="U6" i="6"/>
  <c r="U21" i="4"/>
  <c r="U22" i="4" s="1"/>
  <c r="T10" i="7" s="1"/>
  <c r="U16" i="4"/>
  <c r="U18" i="4" s="1"/>
  <c r="U20" i="4" s="1"/>
  <c r="U17" i="3"/>
  <c r="U7" i="6" l="1"/>
  <c r="U16" i="6" s="1"/>
  <c r="U23" i="4"/>
  <c r="V6" i="4"/>
  <c r="V20" i="2"/>
  <c r="V19" i="2"/>
  <c r="U15" i="6"/>
  <c r="U8" i="6" l="1"/>
  <c r="U17" i="6"/>
  <c r="U18" i="6" s="1"/>
  <c r="V14" i="6" s="1"/>
  <c r="V12" i="3"/>
  <c r="V24" i="2"/>
  <c r="U20" i="6"/>
  <c r="U21" i="6"/>
  <c r="V21" i="2"/>
  <c r="T9" i="7"/>
  <c r="U24" i="4"/>
  <c r="T8" i="7" l="1"/>
  <c r="W17" i="2"/>
  <c r="V6" i="3"/>
  <c r="V25" i="2"/>
  <c r="V13" i="3" s="1"/>
  <c r="V19" i="3" s="1"/>
  <c r="U11" i="7" s="1"/>
  <c r="V14" i="3" l="1"/>
  <c r="V26" i="2"/>
  <c r="W23" i="2" s="1"/>
  <c r="V28" i="2"/>
  <c r="V29" i="2" l="1"/>
  <c r="W8" i="2"/>
  <c r="W9" i="2" s="1"/>
  <c r="W11" i="2" s="1"/>
  <c r="W13" i="2" s="1"/>
  <c r="V7" i="3"/>
  <c r="V8" i="3" s="1"/>
  <c r="V16" i="3" s="1"/>
  <c r="U5" i="7"/>
  <c r="V7" i="4"/>
  <c r="V8" i="4" s="1"/>
  <c r="U6" i="7"/>
  <c r="V11" i="6"/>
  <c r="V12" i="6" s="1"/>
  <c r="U4" i="7"/>
  <c r="V30" i="2"/>
  <c r="V14" i="4"/>
  <c r="V13" i="4"/>
  <c r="W14" i="2"/>
  <c r="W12" i="2"/>
  <c r="V18" i="3" l="1"/>
  <c r="V9" i="3"/>
  <c r="U7" i="7" s="1"/>
  <c r="V21" i="4"/>
  <c r="V22" i="4" s="1"/>
  <c r="U10" i="7" s="1"/>
  <c r="V16" i="4"/>
  <c r="V18" i="4" s="1"/>
  <c r="V20" i="4" s="1"/>
  <c r="V6" i="6"/>
  <c r="V17" i="3"/>
  <c r="W11" i="3"/>
  <c r="W18" i="2"/>
  <c r="W15" i="2"/>
  <c r="V7" i="6" l="1"/>
  <c r="V16" i="6" s="1"/>
  <c r="V23" i="4"/>
  <c r="W20" i="2"/>
  <c r="W19" i="2"/>
  <c r="V15" i="6"/>
  <c r="W6" i="4"/>
  <c r="V17" i="6" l="1"/>
  <c r="V18" i="6" s="1"/>
  <c r="W14" i="6" s="1"/>
  <c r="V8" i="6"/>
  <c r="V20" i="6" s="1"/>
  <c r="U8" i="7"/>
  <c r="W12" i="3"/>
  <c r="W24" i="2"/>
  <c r="U9" i="7"/>
  <c r="V24" i="4"/>
  <c r="W21" i="2"/>
  <c r="V21" i="6" l="1"/>
  <c r="W6" i="3"/>
  <c r="X17" i="2"/>
  <c r="W25" i="2"/>
  <c r="W13" i="3" s="1"/>
  <c r="W19" i="3" s="1"/>
  <c r="V11" i="7" s="1"/>
  <c r="W14" i="3" l="1"/>
  <c r="W26" i="2"/>
  <c r="W7" i="3" l="1"/>
  <c r="W8" i="3" s="1"/>
  <c r="X23" i="2"/>
  <c r="W29" i="2"/>
  <c r="X8" i="2"/>
  <c r="X9" i="2" s="1"/>
  <c r="X11" i="2" s="1"/>
  <c r="W28" i="2"/>
  <c r="V4" i="7" l="1"/>
  <c r="W30" i="2"/>
  <c r="W13" i="4"/>
  <c r="W14" i="4"/>
  <c r="V5" i="7"/>
  <c r="W18" i="3"/>
  <c r="W7" i="4"/>
  <c r="W8" i="4" s="1"/>
  <c r="X13" i="2"/>
  <c r="X12" i="2"/>
  <c r="X14" i="2"/>
  <c r="V6" i="7"/>
  <c r="W11" i="6"/>
  <c r="W12" i="6" s="1"/>
  <c r="W16" i="3"/>
  <c r="W9" i="3"/>
  <c r="V7" i="7" s="1"/>
  <c r="X11" i="3" l="1"/>
  <c r="X18" i="2"/>
  <c r="X15" i="2"/>
  <c r="W21" i="4"/>
  <c r="W22" i="4" s="1"/>
  <c r="V10" i="7" s="1"/>
  <c r="W6" i="6"/>
  <c r="W16" i="4"/>
  <c r="W18" i="4" s="1"/>
  <c r="W20" i="4" s="1"/>
  <c r="W17" i="3"/>
  <c r="W7" i="6" l="1"/>
  <c r="W16" i="6" s="1"/>
  <c r="W23" i="4"/>
  <c r="W15" i="6"/>
  <c r="W8" i="6"/>
  <c r="X6" i="4"/>
  <c r="X19" i="2"/>
  <c r="X20" i="2"/>
  <c r="W17" i="6" l="1"/>
  <c r="W18" i="6" s="1"/>
  <c r="X21" i="2"/>
  <c r="X6" i="3" s="1"/>
  <c r="W20" i="6"/>
  <c r="W21" i="6"/>
  <c r="X12" i="3"/>
  <c r="X24" i="2"/>
  <c r="X14" i="6"/>
  <c r="V8" i="7"/>
  <c r="V9" i="7"/>
  <c r="W24" i="4"/>
  <c r="Y17" i="2" l="1"/>
  <c r="X25" i="2"/>
  <c r="X13" i="3" s="1"/>
  <c r="X19" i="3" s="1"/>
  <c r="W11" i="7" s="1"/>
  <c r="X14" i="3" l="1"/>
  <c r="X26" i="2"/>
  <c r="X7" i="3" l="1"/>
  <c r="X8" i="3" s="1"/>
  <c r="Y23" i="2"/>
  <c r="X29" i="2"/>
  <c r="X28" i="2"/>
  <c r="Y8" i="2"/>
  <c r="Y9" i="2" s="1"/>
  <c r="Y11" i="2" s="1"/>
  <c r="W4" i="7" l="1"/>
  <c r="X14" i="4"/>
  <c r="X13" i="4"/>
  <c r="X30" i="2"/>
  <c r="Y12" i="2"/>
  <c r="Y14" i="2"/>
  <c r="Y13" i="2"/>
  <c r="W5" i="7"/>
  <c r="X18" i="3"/>
  <c r="X7" i="4"/>
  <c r="X8" i="4" s="1"/>
  <c r="W6" i="7"/>
  <c r="X11" i="6"/>
  <c r="X12" i="6" s="1"/>
  <c r="X16" i="3"/>
  <c r="X9" i="3"/>
  <c r="W7" i="7" s="1"/>
  <c r="Y15" i="2" l="1"/>
  <c r="X21" i="4"/>
  <c r="X16" i="4"/>
  <c r="X18" i="4" s="1"/>
  <c r="X20" i="4" s="1"/>
  <c r="X22" i="4"/>
  <c r="W10" i="7" s="1"/>
  <c r="X6" i="6"/>
  <c r="X17" i="3"/>
  <c r="Y11" i="3"/>
  <c r="Y18" i="2"/>
  <c r="X7" i="6" l="1"/>
  <c r="X16" i="6" s="1"/>
  <c r="X23" i="4"/>
  <c r="Y19" i="2"/>
  <c r="Y20" i="2"/>
  <c r="X15" i="6"/>
  <c r="X17" i="6" s="1"/>
  <c r="X18" i="6" s="1"/>
  <c r="X8" i="6"/>
  <c r="Y6" i="4"/>
  <c r="Y14" i="6" l="1"/>
  <c r="W8" i="7"/>
  <c r="W9" i="7"/>
  <c r="X24" i="4"/>
  <c r="X20" i="6"/>
  <c r="X21" i="6"/>
  <c r="Y21" i="2"/>
  <c r="Y12" i="3"/>
  <c r="Y24" i="2"/>
  <c r="Y25" i="2" l="1"/>
  <c r="Y13" i="3" s="1"/>
  <c r="Y14" i="3" s="1"/>
  <c r="Y6" i="3"/>
  <c r="Z17" i="2"/>
  <c r="Y19" i="3" l="1"/>
  <c r="X11" i="7" s="1"/>
  <c r="Y26" i="2"/>
  <c r="Y7" i="3" l="1"/>
  <c r="Y8" i="3" s="1"/>
  <c r="Z23" i="2"/>
  <c r="Y29" i="2"/>
  <c r="Y28" i="2"/>
  <c r="Z8" i="2"/>
  <c r="Z9" i="2" s="1"/>
  <c r="Z11" i="2" s="1"/>
  <c r="Z12" i="2" l="1"/>
  <c r="Z14" i="2"/>
  <c r="Z13" i="2"/>
  <c r="X4" i="7"/>
  <c r="Y14" i="4"/>
  <c r="Y13" i="4"/>
  <c r="Y30" i="2"/>
  <c r="X5" i="7"/>
  <c r="Y18" i="3"/>
  <c r="Y7" i="4"/>
  <c r="Y8" i="4" s="1"/>
  <c r="X6" i="7"/>
  <c r="Y11" i="6"/>
  <c r="Y12" i="6" s="1"/>
  <c r="Y16" i="3"/>
  <c r="Y9" i="3"/>
  <c r="X7" i="7" s="1"/>
  <c r="Z15" i="2" l="1"/>
  <c r="Y16" i="4"/>
  <c r="Y18" i="4" s="1"/>
  <c r="Y20" i="4" s="1"/>
  <c r="Y6" i="6"/>
  <c r="Y21" i="4"/>
  <c r="Y22" i="4" s="1"/>
  <c r="X10" i="7" s="1"/>
  <c r="Y17" i="3"/>
  <c r="Z11" i="3"/>
  <c r="Z18" i="2"/>
  <c r="Y7" i="6" l="1"/>
  <c r="Y16" i="6" s="1"/>
  <c r="Y23" i="4"/>
  <c r="Y15" i="6"/>
  <c r="Y17" i="6" s="1"/>
  <c r="Y18" i="6" s="1"/>
  <c r="Y8" i="6"/>
  <c r="Z6" i="4"/>
  <c r="Z19" i="2"/>
  <c r="Z20" i="2"/>
  <c r="Z21" i="2" l="1"/>
  <c r="Z6" i="3"/>
  <c r="AA17" i="2"/>
  <c r="Z12" i="3"/>
  <c r="Z24" i="2"/>
  <c r="Y20" i="6"/>
  <c r="Y21" i="6"/>
  <c r="X9" i="7"/>
  <c r="Y24" i="4"/>
  <c r="Z14" i="6"/>
  <c r="X8" i="7"/>
  <c r="Z25" i="2" l="1"/>
  <c r="Z13" i="3" s="1"/>
  <c r="Z19" i="3" s="1"/>
  <c r="Z14" i="3" l="1"/>
  <c r="Y11" i="7"/>
  <c r="C36" i="5"/>
  <c r="Z26" i="2"/>
  <c r="AA23" i="2" l="1"/>
  <c r="Z7" i="3"/>
  <c r="Z8" i="3" s="1"/>
  <c r="Z29" i="2"/>
  <c r="Z28" i="2"/>
  <c r="AA8" i="2"/>
  <c r="AA9" i="2" s="1"/>
  <c r="AA11" i="2" s="1"/>
  <c r="Y5" i="7" l="1"/>
  <c r="Z7" i="4"/>
  <c r="Z8" i="4" s="1"/>
  <c r="Z18" i="3"/>
  <c r="C30" i="5"/>
  <c r="AA14" i="2"/>
  <c r="AA13" i="2"/>
  <c r="AA12" i="2"/>
  <c r="Y4" i="7"/>
  <c r="Z14" i="4"/>
  <c r="Z13" i="4"/>
  <c r="C29" i="5"/>
  <c r="Z30" i="2"/>
  <c r="C31" i="5" s="1"/>
  <c r="Y6" i="7"/>
  <c r="Z11" i="6"/>
  <c r="Z12" i="6" s="1"/>
  <c r="C32" i="5"/>
  <c r="Z9" i="3"/>
  <c r="Z16" i="3"/>
  <c r="AA15" i="2" l="1"/>
  <c r="AA6" i="4" s="1"/>
  <c r="Z6" i="6"/>
  <c r="Z16" i="4"/>
  <c r="Z18" i="4" s="1"/>
  <c r="Z20" i="4" s="1"/>
  <c r="Z21" i="4"/>
  <c r="Z22" i="4" s="1"/>
  <c r="B42" i="8"/>
  <c r="Z17" i="3"/>
  <c r="AA11" i="3"/>
  <c r="AA18" i="2"/>
  <c r="Y7" i="7"/>
  <c r="C33" i="5"/>
  <c r="Y10" i="7" l="1"/>
  <c r="C34" i="5"/>
  <c r="Z7" i="6"/>
  <c r="Z16" i="6" s="1"/>
  <c r="Z23" i="4"/>
  <c r="AA20" i="2"/>
  <c r="AA19" i="2"/>
  <c r="Z15" i="6"/>
  <c r="Z17" i="6" l="1"/>
  <c r="Z18" i="6" s="1"/>
  <c r="Z8" i="6"/>
  <c r="Z20" i="6" s="1"/>
  <c r="Z21" i="6"/>
  <c r="AA12" i="3"/>
  <c r="AA24" i="2"/>
  <c r="Y8" i="7"/>
  <c r="AA14" i="6"/>
  <c r="AA21" i="2"/>
  <c r="Y9" i="7"/>
  <c r="Z24" i="4"/>
  <c r="C35" i="5" s="1"/>
  <c r="AA25" i="2" l="1"/>
  <c r="AA13" i="3" s="1"/>
  <c r="AA19" i="3" s="1"/>
  <c r="Z11" i="7" s="1"/>
  <c r="AB17" i="2"/>
  <c r="AA6" i="3"/>
  <c r="AA14" i="3" l="1"/>
  <c r="AA26" i="2"/>
  <c r="AA7" i="3" l="1"/>
  <c r="AA8" i="3" s="1"/>
  <c r="AB23" i="2"/>
  <c r="AA29" i="2"/>
  <c r="AA28" i="2"/>
  <c r="AB8" i="2"/>
  <c r="AB9" i="2" s="1"/>
  <c r="AB11" i="2" s="1"/>
  <c r="AB14" i="2" l="1"/>
  <c r="AB12" i="2"/>
  <c r="AB13" i="2"/>
  <c r="Z4" i="7"/>
  <c r="AA14" i="4"/>
  <c r="AA13" i="4"/>
  <c r="AA30" i="2"/>
  <c r="Z5" i="7"/>
  <c r="AA18" i="3"/>
  <c r="AA7" i="4"/>
  <c r="AA8" i="4" s="1"/>
  <c r="Z6" i="7"/>
  <c r="AA11" i="6"/>
  <c r="AA12" i="6" s="1"/>
  <c r="AA9" i="3"/>
  <c r="Z7" i="7" s="1"/>
  <c r="AA16" i="3"/>
  <c r="AB15" i="2" l="1"/>
  <c r="AB6" i="4" s="1"/>
  <c r="AA16" i="4"/>
  <c r="AA18" i="4" s="1"/>
  <c r="AA20" i="4" s="1"/>
  <c r="AA6" i="6"/>
  <c r="AA21" i="4"/>
  <c r="AA22" i="4" s="1"/>
  <c r="Z10" i="7" s="1"/>
  <c r="AA17" i="3"/>
  <c r="AB11" i="3"/>
  <c r="AB18" i="2"/>
  <c r="AA7" i="6" l="1"/>
  <c r="AA16" i="6" s="1"/>
  <c r="AA23" i="4"/>
  <c r="AA8" i="6"/>
  <c r="AA15" i="6"/>
  <c r="AA17" i="6" s="1"/>
  <c r="AA18" i="6" s="1"/>
  <c r="AB19" i="2"/>
  <c r="AB20" i="2"/>
  <c r="AB21" i="2" l="1"/>
  <c r="AC17" i="2"/>
  <c r="AB6" i="3"/>
  <c r="AB12" i="3"/>
  <c r="AB24" i="2"/>
  <c r="AB14" i="6"/>
  <c r="Z8" i="7"/>
  <c r="AA20" i="6"/>
  <c r="AA21" i="6"/>
  <c r="Z9" i="7"/>
  <c r="AA24" i="4"/>
  <c r="AB25" i="2" l="1"/>
  <c r="AB13" i="3" s="1"/>
  <c r="AB19" i="3" s="1"/>
  <c r="AA11" i="7" s="1"/>
  <c r="AB14" i="3" l="1"/>
  <c r="AB26" i="2"/>
  <c r="AC23" i="2" l="1"/>
  <c r="AB7" i="3"/>
  <c r="AB8" i="3" s="1"/>
  <c r="AB29" i="2"/>
  <c r="AC8" i="2"/>
  <c r="AC9" i="2" s="1"/>
  <c r="AC11" i="2" s="1"/>
  <c r="AB28" i="2"/>
  <c r="AA4" i="7" l="1"/>
  <c r="AB14" i="4"/>
  <c r="AB13" i="4"/>
  <c r="AB30" i="2"/>
  <c r="AC14" i="2"/>
  <c r="AC12" i="2"/>
  <c r="AC13" i="2"/>
  <c r="AA5" i="7"/>
  <c r="AB18" i="3"/>
  <c r="AB7" i="4"/>
  <c r="AB8" i="4" s="1"/>
  <c r="AA6" i="7"/>
  <c r="AB11" i="6"/>
  <c r="AB12" i="6" s="1"/>
  <c r="AB9" i="3"/>
  <c r="AA7" i="7" s="1"/>
  <c r="AB16" i="3"/>
  <c r="AC15" i="2" l="1"/>
  <c r="AC6" i="4" s="1"/>
  <c r="AC11" i="3"/>
  <c r="AC18" i="2"/>
  <c r="AB21" i="4"/>
  <c r="AB22" i="4" s="1"/>
  <c r="AA10" i="7" s="1"/>
  <c r="AB6" i="6"/>
  <c r="AB16" i="4"/>
  <c r="AB18" i="4" s="1"/>
  <c r="AB20" i="4" s="1"/>
  <c r="AB17" i="3"/>
  <c r="AB7" i="6" l="1"/>
  <c r="AB16" i="6" s="1"/>
  <c r="AB23" i="4"/>
  <c r="AC20" i="2"/>
  <c r="AC19" i="2"/>
  <c r="AB15" i="6"/>
  <c r="AB8" i="6" l="1"/>
  <c r="AB17" i="6"/>
  <c r="AB18" i="6" s="1"/>
  <c r="AB20" i="6"/>
  <c r="AB21" i="6"/>
  <c r="AC12" i="3"/>
  <c r="AC24" i="2"/>
  <c r="AC21" i="2"/>
  <c r="AA9" i="7"/>
  <c r="AB24" i="4"/>
  <c r="AC14" i="6"/>
  <c r="AA8" i="7"/>
  <c r="AC25" i="2" l="1"/>
  <c r="AC13" i="3" s="1"/>
  <c r="AC19" i="3" s="1"/>
  <c r="AB11" i="7" s="1"/>
  <c r="AD17" i="2"/>
  <c r="AC6" i="3"/>
  <c r="AC14" i="3" l="1"/>
  <c r="AC26" i="2"/>
  <c r="AC7" i="3" s="1"/>
  <c r="AC8" i="3" s="1"/>
  <c r="AD23" i="2" l="1"/>
  <c r="AC29" i="2"/>
  <c r="AD8" i="2"/>
  <c r="AD9" i="2" s="1"/>
  <c r="AD11" i="2" s="1"/>
  <c r="AC28" i="2"/>
  <c r="AB6" i="7"/>
  <c r="AC11" i="6"/>
  <c r="AC12" i="6" s="1"/>
  <c r="AC9" i="3"/>
  <c r="AB7" i="7" s="1"/>
  <c r="AC16" i="3"/>
  <c r="AC18" i="3"/>
  <c r="AD14" i="2" l="1"/>
  <c r="AD12" i="2"/>
  <c r="AD13" i="2"/>
  <c r="AC14" i="4"/>
  <c r="AC13" i="4"/>
  <c r="AC30" i="2"/>
  <c r="AB4" i="7"/>
  <c r="AB5" i="7"/>
  <c r="AC7" i="4"/>
  <c r="AC8" i="4" s="1"/>
  <c r="AC21" i="4" s="1"/>
  <c r="AC22" i="4" s="1"/>
  <c r="AB10" i="7" s="1"/>
  <c r="AC6" i="6"/>
  <c r="AC16" i="4"/>
  <c r="AC17" i="3"/>
  <c r="AD11" i="3" l="1"/>
  <c r="AD18" i="2"/>
  <c r="AD15" i="2"/>
  <c r="AD6" i="4" s="1"/>
  <c r="AC18" i="4"/>
  <c r="AC20" i="4" s="1"/>
  <c r="AC7" i="6" s="1"/>
  <c r="AC16" i="6" s="1"/>
  <c r="AC15" i="6"/>
  <c r="AC8" i="6" l="1"/>
  <c r="AC21" i="6" s="1"/>
  <c r="AC17" i="6"/>
  <c r="AC18" i="6" s="1"/>
  <c r="AC23" i="4"/>
  <c r="AD19" i="2"/>
  <c r="AD20" i="2"/>
  <c r="AD14" i="6"/>
  <c r="AB8" i="7"/>
  <c r="AB9" i="7"/>
  <c r="AC24" i="4"/>
  <c r="AC20" i="6" l="1"/>
  <c r="AD24" i="2"/>
  <c r="AD25" i="2" s="1"/>
  <c r="AD13" i="3" s="1"/>
  <c r="AD21" i="2"/>
  <c r="AD12" i="3"/>
  <c r="AD26" i="2"/>
  <c r="AD14" i="3" l="1"/>
  <c r="AD19" i="3"/>
  <c r="AC11" i="7" s="1"/>
  <c r="AE17" i="2"/>
  <c r="AD6" i="3"/>
  <c r="AD7" i="3"/>
  <c r="AE23" i="2"/>
  <c r="AD29" i="2"/>
  <c r="AE8" i="2"/>
  <c r="AE9" i="2" s="1"/>
  <c r="AE11" i="2" s="1"/>
  <c r="AD28" i="2"/>
  <c r="AD8" i="3" l="1"/>
  <c r="AD16" i="3" s="1"/>
  <c r="AC4" i="7"/>
  <c r="AD14" i="4"/>
  <c r="AD13" i="4"/>
  <c r="AD30" i="2"/>
  <c r="AE13" i="2"/>
  <c r="AE12" i="2"/>
  <c r="AE14" i="2"/>
  <c r="AC5" i="7"/>
  <c r="AD7" i="4"/>
  <c r="AD8" i="4" s="1"/>
  <c r="AC6" i="7"/>
  <c r="AD11" i="6"/>
  <c r="AD12" i="6" s="1"/>
  <c r="AD9" i="3"/>
  <c r="AC7" i="7" s="1"/>
  <c r="AD18" i="3" l="1"/>
  <c r="AE15" i="2"/>
  <c r="AE6" i="4" s="1"/>
  <c r="AD6" i="6"/>
  <c r="AD21" i="4"/>
  <c r="AD22" i="4" s="1"/>
  <c r="AC10" i="7" s="1"/>
  <c r="AD16" i="4"/>
  <c r="AD18" i="4" s="1"/>
  <c r="AD20" i="4" s="1"/>
  <c r="AD17" i="3"/>
  <c r="AE11" i="3"/>
  <c r="AE18" i="2"/>
  <c r="AD7" i="6" l="1"/>
  <c r="AD16" i="6" s="1"/>
  <c r="AD23" i="4"/>
  <c r="AD15" i="6"/>
  <c r="AD17" i="6" s="1"/>
  <c r="AD18" i="6" s="1"/>
  <c r="AD8" i="6"/>
  <c r="AE20" i="2"/>
  <c r="AE19" i="2"/>
  <c r="AE12" i="3" l="1"/>
  <c r="AE24" i="2"/>
  <c r="AE14" i="6"/>
  <c r="AC8" i="7"/>
  <c r="AE21" i="2"/>
  <c r="AD20" i="6"/>
  <c r="AD21" i="6"/>
  <c r="AC9" i="7"/>
  <c r="AD24" i="4"/>
  <c r="AE6" i="3" l="1"/>
  <c r="AF17" i="2"/>
  <c r="AE25" i="2"/>
  <c r="AE13" i="3" s="1"/>
  <c r="AE19" i="3" s="1"/>
  <c r="AD11" i="7" s="1"/>
  <c r="AE14" i="3" l="1"/>
  <c r="AE26" i="2"/>
  <c r="AE7" i="3" l="1"/>
  <c r="AE8" i="3" s="1"/>
  <c r="AF23" i="2"/>
  <c r="AF8" i="2"/>
  <c r="AF9" i="2" s="1"/>
  <c r="AF11" i="2" s="1"/>
  <c r="AE29" i="2"/>
  <c r="AE28" i="2"/>
  <c r="AD5" i="7" l="1"/>
  <c r="AE7" i="4"/>
  <c r="AE8" i="4" s="1"/>
  <c r="AE18" i="3"/>
  <c r="AD4" i="7"/>
  <c r="AE13" i="4"/>
  <c r="AE30" i="2"/>
  <c r="AE14" i="4"/>
  <c r="AF13" i="2"/>
  <c r="AF12" i="2"/>
  <c r="AF14" i="2"/>
  <c r="AD6" i="7"/>
  <c r="AE11" i="6"/>
  <c r="AE12" i="6" s="1"/>
  <c r="AE9" i="3"/>
  <c r="AD7" i="7" s="1"/>
  <c r="AE16" i="3"/>
  <c r="AF11" i="3" l="1"/>
  <c r="AF18" i="2"/>
  <c r="AE21" i="4"/>
  <c r="AE22" i="4" s="1"/>
  <c r="AD10" i="7" s="1"/>
  <c r="AE6" i="6"/>
  <c r="AE16" i="4"/>
  <c r="AE18" i="4" s="1"/>
  <c r="AE20" i="4" s="1"/>
  <c r="AE17" i="3"/>
  <c r="AF15" i="2"/>
  <c r="AE7" i="6" l="1"/>
  <c r="AE16" i="6" s="1"/>
  <c r="AE23" i="4"/>
  <c r="AF6" i="4"/>
  <c r="AF19" i="2"/>
  <c r="AF20" i="2"/>
  <c r="AE15" i="6"/>
  <c r="AE8" i="6" l="1"/>
  <c r="AE20" i="6" s="1"/>
  <c r="AE17" i="6"/>
  <c r="AE18" i="6" s="1"/>
  <c r="AF14" i="6" s="1"/>
  <c r="AD8" i="7"/>
  <c r="AF12" i="3"/>
  <c r="AF24" i="2"/>
  <c r="AF21" i="2"/>
  <c r="AD9" i="7"/>
  <c r="AE24" i="4"/>
  <c r="AE21" i="6" l="1"/>
  <c r="AF25" i="2"/>
  <c r="AF13" i="3" s="1"/>
  <c r="AF19" i="3" s="1"/>
  <c r="AE11" i="7" s="1"/>
  <c r="AF6" i="3"/>
  <c r="AG17" i="2"/>
  <c r="AF26" i="2" l="1"/>
  <c r="AF28" i="2" s="1"/>
  <c r="AF14" i="3"/>
  <c r="AE4" i="7"/>
  <c r="AF13" i="4"/>
  <c r="AF14" i="4"/>
  <c r="AG8" i="2"/>
  <c r="AG9" i="2" s="1"/>
  <c r="AG11" i="2" s="1"/>
  <c r="AF7" i="3"/>
  <c r="AF8" i="3" s="1"/>
  <c r="AG23" i="2"/>
  <c r="AF29" i="2"/>
  <c r="AE6" i="7" l="1"/>
  <c r="AF11" i="6"/>
  <c r="AF12" i="6" s="1"/>
  <c r="AF9" i="3"/>
  <c r="AE7" i="7" s="1"/>
  <c r="AF16" i="3"/>
  <c r="AE5" i="7"/>
  <c r="AF7" i="4"/>
  <c r="AF8" i="4" s="1"/>
  <c r="AF18" i="3"/>
  <c r="AG14" i="2"/>
  <c r="AG13" i="2"/>
  <c r="AG12" i="2"/>
  <c r="AF30" i="2"/>
  <c r="AG15" i="2" l="1"/>
  <c r="AG6" i="4" s="1"/>
  <c r="AF6" i="6"/>
  <c r="AF21" i="4"/>
  <c r="AF22" i="4" s="1"/>
  <c r="AE10" i="7" s="1"/>
  <c r="AF16" i="4"/>
  <c r="AF18" i="4" s="1"/>
  <c r="AF20" i="4" s="1"/>
  <c r="AF17" i="3"/>
  <c r="AG11" i="3"/>
  <c r="AG18" i="2"/>
  <c r="AF7" i="6" l="1"/>
  <c r="AF16" i="6" s="1"/>
  <c r="AF23" i="4"/>
  <c r="AG20" i="2"/>
  <c r="AG19" i="2"/>
  <c r="AF15" i="6"/>
  <c r="AF17" i="6" l="1"/>
  <c r="AF18" i="6" s="1"/>
  <c r="AF8" i="6"/>
  <c r="AG21" i="2"/>
  <c r="AF20" i="6"/>
  <c r="AF21" i="6"/>
  <c r="AG14" i="6"/>
  <c r="AE8" i="7"/>
  <c r="AH17" i="2"/>
  <c r="AG6" i="3"/>
  <c r="AG12" i="3"/>
  <c r="AG24" i="2"/>
  <c r="AE9" i="7"/>
  <c r="AF24" i="4"/>
  <c r="AG25" i="2" l="1"/>
  <c r="AG13" i="3" s="1"/>
  <c r="AG19" i="3" s="1"/>
  <c r="AF11" i="7" s="1"/>
  <c r="AG26" i="2" l="1"/>
  <c r="AG14" i="3"/>
  <c r="AH23" i="2" l="1"/>
  <c r="AG7" i="3"/>
  <c r="AG8" i="3" s="1"/>
  <c r="AG29" i="2"/>
  <c r="AG28" i="2"/>
  <c r="AH8" i="2"/>
  <c r="AH9" i="2" s="1"/>
  <c r="AH11" i="2" s="1"/>
  <c r="AH13" i="2" l="1"/>
  <c r="AH12" i="2"/>
  <c r="AH14" i="2"/>
  <c r="AF4" i="7"/>
  <c r="AG13" i="4"/>
  <c r="AG30" i="2"/>
  <c r="AG14" i="4"/>
  <c r="AF5" i="7"/>
  <c r="AG7" i="4"/>
  <c r="AG8" i="4" s="1"/>
  <c r="AG18" i="3"/>
  <c r="AF6" i="7"/>
  <c r="AG11" i="6"/>
  <c r="AG12" i="6" s="1"/>
  <c r="AG16" i="3"/>
  <c r="AG9" i="3"/>
  <c r="AF7" i="7" s="1"/>
  <c r="AH18" i="2" l="1"/>
  <c r="AH11" i="3"/>
  <c r="AG6" i="6"/>
  <c r="AG21" i="4"/>
  <c r="AG22" i="4" s="1"/>
  <c r="AF10" i="7" s="1"/>
  <c r="AG16" i="4"/>
  <c r="AG18" i="4" s="1"/>
  <c r="AG20" i="4" s="1"/>
  <c r="AG17" i="3"/>
  <c r="AH15" i="2"/>
  <c r="AG7" i="6" l="1"/>
  <c r="AG16" i="6" s="1"/>
  <c r="AG23" i="4"/>
  <c r="AG15" i="6"/>
  <c r="AH19" i="2"/>
  <c r="AH20" i="2"/>
  <c r="AH6" i="4"/>
  <c r="AG8" i="6" l="1"/>
  <c r="AG17" i="6"/>
  <c r="AG18" i="6" s="1"/>
  <c r="AH14" i="6" s="1"/>
  <c r="AH12" i="3"/>
  <c r="AH24" i="2"/>
  <c r="AH21" i="2"/>
  <c r="AG20" i="6"/>
  <c r="AG21" i="6"/>
  <c r="AF9" i="7"/>
  <c r="AG24" i="4"/>
  <c r="AF8" i="7" l="1"/>
  <c r="AI17" i="2"/>
  <c r="AH6" i="3"/>
  <c r="AH25" i="2"/>
  <c r="AH13" i="3" s="1"/>
  <c r="AH19" i="3" s="1"/>
  <c r="AG11" i="7" s="1"/>
  <c r="AH14" i="3" l="1"/>
  <c r="AH26" i="2"/>
  <c r="AI23" i="2" l="1"/>
  <c r="AH7" i="3"/>
  <c r="AH8" i="3" s="1"/>
  <c r="AI8" i="2"/>
  <c r="AI9" i="2" s="1"/>
  <c r="AI11" i="2" s="1"/>
  <c r="AH29" i="2"/>
  <c r="AH28" i="2"/>
  <c r="AI14" i="2" l="1"/>
  <c r="AI13" i="2"/>
  <c r="AI12" i="2"/>
  <c r="AG4" i="7"/>
  <c r="AH30" i="2"/>
  <c r="AH13" i="4"/>
  <c r="AH14" i="4"/>
  <c r="AG5" i="7"/>
  <c r="AH7" i="4"/>
  <c r="AH8" i="4" s="1"/>
  <c r="AH18" i="3"/>
  <c r="AG6" i="7"/>
  <c r="AH11" i="6"/>
  <c r="AH12" i="6" s="1"/>
  <c r="AH16" i="3"/>
  <c r="AH9" i="3"/>
  <c r="AG7" i="7" s="1"/>
  <c r="AI18" i="2" l="1"/>
  <c r="AI11" i="3"/>
  <c r="AH6" i="6"/>
  <c r="AH21" i="4"/>
  <c r="AH22" i="4" s="1"/>
  <c r="AG10" i="7" s="1"/>
  <c r="AH16" i="4"/>
  <c r="AH18" i="4" s="1"/>
  <c r="AH20" i="4" s="1"/>
  <c r="AH17" i="3"/>
  <c r="AI15" i="2"/>
  <c r="AH7" i="6" l="1"/>
  <c r="AH16" i="6" s="1"/>
  <c r="AH23" i="4"/>
  <c r="AH15" i="6"/>
  <c r="AI20" i="2"/>
  <c r="AI19" i="2"/>
  <c r="AI6" i="4"/>
  <c r="AH8" i="6" l="1"/>
  <c r="AH17" i="6"/>
  <c r="AH18" i="6" s="1"/>
  <c r="AI12" i="3"/>
  <c r="AI24" i="2"/>
  <c r="AI21" i="2"/>
  <c r="AH20" i="6"/>
  <c r="AH21" i="6"/>
  <c r="AI14" i="6"/>
  <c r="AG8" i="7"/>
  <c r="AG9" i="7"/>
  <c r="AH24" i="4"/>
  <c r="AI25" i="2" l="1"/>
  <c r="AI13" i="3" s="1"/>
  <c r="AI19" i="3" s="1"/>
  <c r="AH11" i="7" s="1"/>
  <c r="AI6" i="3"/>
  <c r="AJ17" i="2"/>
  <c r="AI14" i="3" l="1"/>
  <c r="AI26" i="2"/>
  <c r="AJ23" i="2" l="1"/>
  <c r="AI7" i="3"/>
  <c r="AI8" i="3" s="1"/>
  <c r="AI28" i="2"/>
  <c r="AI29" i="2"/>
  <c r="AJ8" i="2"/>
  <c r="AJ9" i="2" s="1"/>
  <c r="AJ11" i="2" s="1"/>
  <c r="AJ13" i="2" l="1"/>
  <c r="AJ14" i="2"/>
  <c r="AJ12" i="2"/>
  <c r="AH5" i="7"/>
  <c r="AI18" i="3"/>
  <c r="AI7" i="4"/>
  <c r="AI8" i="4" s="1"/>
  <c r="AH4" i="7"/>
  <c r="AI30" i="2"/>
  <c r="AI14" i="4"/>
  <c r="AI13" i="4"/>
  <c r="AH6" i="7"/>
  <c r="AI11" i="6"/>
  <c r="AI12" i="6" s="1"/>
  <c r="AI16" i="3"/>
  <c r="AI9" i="3"/>
  <c r="AH7" i="7" s="1"/>
  <c r="AJ11" i="3" l="1"/>
  <c r="AJ18" i="2"/>
  <c r="AI21" i="4"/>
  <c r="AI22" i="4" s="1"/>
  <c r="AH10" i="7" s="1"/>
  <c r="AI6" i="6"/>
  <c r="AI16" i="4"/>
  <c r="AI18" i="4" s="1"/>
  <c r="AI20" i="4" s="1"/>
  <c r="AI17" i="3"/>
  <c r="AJ15" i="2"/>
  <c r="AI7" i="6" l="1"/>
  <c r="AI16" i="6" s="1"/>
  <c r="AI23" i="4"/>
  <c r="AI15" i="6"/>
  <c r="AJ20" i="2"/>
  <c r="AJ19" i="2"/>
  <c r="AJ6" i="4"/>
  <c r="AI8" i="6" l="1"/>
  <c r="AI17" i="6"/>
  <c r="AI18" i="6" s="1"/>
  <c r="AH8" i="7" s="1"/>
  <c r="AJ12" i="3"/>
  <c r="AJ24" i="2"/>
  <c r="AJ21" i="2"/>
  <c r="AJ14" i="6"/>
  <c r="AI20" i="6"/>
  <c r="AI21" i="6"/>
  <c r="AH9" i="7"/>
  <c r="AI24" i="4"/>
  <c r="AJ6" i="3" l="1"/>
  <c r="AK17" i="2"/>
  <c r="AJ25" i="2"/>
  <c r="AJ13" i="3" s="1"/>
  <c r="AJ19" i="3" s="1"/>
  <c r="AI11" i="7" s="1"/>
  <c r="AJ26" i="2" l="1"/>
  <c r="AJ14" i="3"/>
  <c r="AJ7" i="3" l="1"/>
  <c r="AJ8" i="3" s="1"/>
  <c r="AK23" i="2"/>
  <c r="AJ29" i="2"/>
  <c r="AJ28" i="2"/>
  <c r="AK8" i="2"/>
  <c r="AK9" i="2" s="1"/>
  <c r="AK11" i="2" s="1"/>
  <c r="AI5" i="7" l="1"/>
  <c r="AJ18" i="3"/>
  <c r="AJ7" i="4"/>
  <c r="AJ8" i="4" s="1"/>
  <c r="AK13" i="2"/>
  <c r="AK14" i="2"/>
  <c r="AK12" i="2"/>
  <c r="AI4" i="7"/>
  <c r="AJ14" i="4"/>
  <c r="AJ13" i="4"/>
  <c r="AJ30" i="2"/>
  <c r="AI6" i="7"/>
  <c r="AJ11" i="6"/>
  <c r="AJ12" i="6" s="1"/>
  <c r="AJ16" i="3"/>
  <c r="AJ9" i="3"/>
  <c r="AI7" i="7" s="1"/>
  <c r="AK11" i="3" l="1"/>
  <c r="AK18" i="2"/>
  <c r="AJ6" i="6"/>
  <c r="AJ16" i="4"/>
  <c r="AJ18" i="4" s="1"/>
  <c r="AJ20" i="4" s="1"/>
  <c r="AJ21" i="4"/>
  <c r="AJ22" i="4" s="1"/>
  <c r="AI10" i="7" s="1"/>
  <c r="AJ17" i="3"/>
  <c r="AK15" i="2"/>
  <c r="AJ7" i="6" l="1"/>
  <c r="AJ16" i="6" s="1"/>
  <c r="AJ23" i="4"/>
  <c r="AJ15" i="6"/>
  <c r="AK20" i="2"/>
  <c r="AK19" i="2"/>
  <c r="AK6" i="4"/>
  <c r="AK21" i="2" l="1"/>
  <c r="AJ8" i="6"/>
  <c r="AJ21" i="6" s="1"/>
  <c r="AJ17" i="6"/>
  <c r="AJ18" i="6" s="1"/>
  <c r="AK14" i="6" s="1"/>
  <c r="AK6" i="3"/>
  <c r="AL17" i="2"/>
  <c r="AK12" i="3"/>
  <c r="AK24" i="2"/>
  <c r="AI9" i="7"/>
  <c r="AJ24" i="4"/>
  <c r="AJ20" i="6"/>
  <c r="AI8" i="7" l="1"/>
  <c r="AK25" i="2"/>
  <c r="AK13" i="3" s="1"/>
  <c r="AK19" i="3" s="1"/>
  <c r="AJ11" i="7" s="1"/>
  <c r="AK14" i="3" l="1"/>
  <c r="AK26" i="2"/>
  <c r="AK7" i="3" s="1"/>
  <c r="AK8" i="3" s="1"/>
  <c r="AK28" i="2" l="1"/>
  <c r="AK29" i="2"/>
  <c r="AL8" i="2"/>
  <c r="AL9" i="2" s="1"/>
  <c r="AL11" i="2" s="1"/>
  <c r="AL14" i="2" s="1"/>
  <c r="AL23" i="2"/>
  <c r="AJ4" i="7"/>
  <c r="AK14" i="4"/>
  <c r="AK13" i="4"/>
  <c r="AK18" i="3"/>
  <c r="AJ6" i="7"/>
  <c r="AK11" i="6"/>
  <c r="AK12" i="6" s="1"/>
  <c r="AK16" i="3"/>
  <c r="AK9" i="3"/>
  <c r="AJ7" i="7" s="1"/>
  <c r="AL13" i="2" l="1"/>
  <c r="AL12" i="2"/>
  <c r="AL15" i="2" s="1"/>
  <c r="AK30" i="2"/>
  <c r="AK7" i="4"/>
  <c r="AK8" i="4" s="1"/>
  <c r="AK21" i="4" s="1"/>
  <c r="AK22" i="4" s="1"/>
  <c r="AJ10" i="7" s="1"/>
  <c r="AJ5" i="7"/>
  <c r="AK6" i="6"/>
  <c r="AK16" i="4"/>
  <c r="AK18" i="4" s="1"/>
  <c r="AK17" i="3"/>
  <c r="AL18" i="2" l="1"/>
  <c r="AL11" i="3"/>
  <c r="AK20" i="4"/>
  <c r="AK7" i="6" s="1"/>
  <c r="AK16" i="6" s="1"/>
  <c r="AL19" i="2"/>
  <c r="AL20" i="2"/>
  <c r="AK23" i="4"/>
  <c r="AL6" i="4"/>
  <c r="AK15" i="6"/>
  <c r="AK17" i="6" l="1"/>
  <c r="AK18" i="6" s="1"/>
  <c r="AK8" i="6"/>
  <c r="AL21" i="2"/>
  <c r="AL6" i="3"/>
  <c r="AK20" i="6"/>
  <c r="AK21" i="6"/>
  <c r="AL14" i="6"/>
  <c r="AJ8" i="7"/>
  <c r="AJ9" i="7"/>
  <c r="AK24" i="4"/>
  <c r="AL12" i="3"/>
  <c r="AL24" i="2"/>
  <c r="AL25" i="2" l="1"/>
  <c r="AL13" i="3" s="1"/>
  <c r="AL19" i="3" s="1"/>
  <c r="AL26" i="2" l="1"/>
  <c r="AL7" i="3" s="1"/>
  <c r="AL8" i="3" s="1"/>
  <c r="AK11" i="7"/>
  <c r="D36" i="5"/>
  <c r="AL14" i="3"/>
  <c r="AL28" i="2" l="1"/>
  <c r="AK4" i="7" s="1"/>
  <c r="AL29" i="2"/>
  <c r="AL7" i="4" s="1"/>
  <c r="AL8" i="4" s="1"/>
  <c r="AK6" i="7"/>
  <c r="AL11" i="6"/>
  <c r="AL12" i="6" s="1"/>
  <c r="D32" i="5"/>
  <c r="AL16" i="3"/>
  <c r="AL9" i="3"/>
  <c r="B32" i="8"/>
  <c r="AK5" i="7"/>
  <c r="AL18" i="3"/>
  <c r="D30" i="5"/>
  <c r="AL13" i="4" l="1"/>
  <c r="AL14" i="4"/>
  <c r="D29" i="5"/>
  <c r="AL30" i="2"/>
  <c r="D31" i="5" s="1"/>
  <c r="AL6" i="6"/>
  <c r="AL16" i="4"/>
  <c r="AL21" i="4"/>
  <c r="AL22" i="4" s="1"/>
  <c r="B43" i="8"/>
  <c r="AL17" i="3"/>
  <c r="B40" i="8" s="1"/>
  <c r="AK7" i="7"/>
  <c r="D33" i="5"/>
  <c r="AL18" i="4" l="1"/>
  <c r="AL20" i="4" s="1"/>
  <c r="AL7" i="6" s="1"/>
  <c r="AL16" i="6" s="1"/>
  <c r="B8" i="8"/>
  <c r="AK10" i="7"/>
  <c r="D34" i="5"/>
  <c r="AL23" i="4"/>
  <c r="AL15" i="6"/>
  <c r="AL17" i="6" s="1"/>
  <c r="AL18" i="6" s="1"/>
  <c r="AK8" i="7" s="1"/>
  <c r="AL8" i="6"/>
  <c r="AL20" i="6" l="1"/>
  <c r="AL21" i="6"/>
  <c r="B31" i="8" s="1"/>
  <c r="AK9" i="7"/>
  <c r="B66" i="5"/>
  <c r="B67" i="5" s="1"/>
  <c r="AL24" i="4"/>
  <c r="D35" i="5" s="1"/>
  <c r="B28" i="8" l="1"/>
  <c r="B24" i="8"/>
  <c r="B9" i="8"/>
  <c r="B69" i="5"/>
  <c r="B71" i="5"/>
  <c r="B68" i="5"/>
  <c r="B70" i="5" l="1"/>
  <c r="B72" i="5"/>
  <c r="B30" i="8" s="1"/>
  <c r="B29" i="8"/>
</calcChain>
</file>

<file path=xl/sharedStrings.xml><?xml version="1.0" encoding="utf-8"?>
<sst xmlns="http://schemas.openxmlformats.org/spreadsheetml/2006/main" count="688" uniqueCount="422">
  <si>
    <t>POSEIDON.AI — Financial Model Assumptions</t>
  </si>
  <si>
    <t>B2C SaaS | 36-Month Projection | Realistic Growth Scenario</t>
  </si>
  <si>
    <t>PRICING &amp; MONETIZATION</t>
  </si>
  <si>
    <t>Tier</t>
  </si>
  <si>
    <t>Monthly Price</t>
  </si>
  <si>
    <t>Annual Price</t>
  </si>
  <si>
    <t>Engines Included</t>
  </si>
  <si>
    <t>Free</t>
  </si>
  <si>
    <t>Dashboard + Basic Protect (3 alerts/mo)</t>
  </si>
  <si>
    <t>Plus</t>
  </si>
  <si>
    <t>Full Protect + Grow (forecasting, savings insights)</t>
  </si>
  <si>
    <t>Pro</t>
  </si>
  <si>
    <t>All 4 Engines: Protect + Grow + Execute + Govern</t>
  </si>
  <si>
    <t>USER GROWTH</t>
  </si>
  <si>
    <t>Launch users (Month 1)</t>
  </si>
  <si>
    <t>Beta waitlist + ProductHunt launch</t>
  </si>
  <si>
    <t>Initial organic signup rate</t>
  </si>
  <si>
    <t>Starting MoM rate; decays by factor below</t>
  </si>
  <si>
    <t>Paid acquisition (users/mo, M1)</t>
  </si>
  <si>
    <t>Starting paid spend; scales with budget</t>
  </si>
  <si>
    <t>Paid acquisition growth rate</t>
  </si>
  <si>
    <t>MoM increase in paid spend</t>
  </si>
  <si>
    <t>Viral coefficient (K-factor)</t>
  </si>
  <si>
    <t>Invites per user that convert</t>
  </si>
  <si>
    <t>Organic growth decay factor</t>
  </si>
  <si>
    <t>Rate multiplier per month; 0.955 = ~3.5% rate by M36</t>
  </si>
  <si>
    <t>CONVERSION &amp; CHURN</t>
  </si>
  <si>
    <t>Free → Plus conversion rate</t>
  </si>
  <si>
    <t>Monthly; industry 3-7% for freemium fintech</t>
  </si>
  <si>
    <t>Free → Pro conversion rate</t>
  </si>
  <si>
    <t>Monthly; direct-to-Pro skip</t>
  </si>
  <si>
    <t>Plus → Pro upgrade rate</t>
  </si>
  <si>
    <t>Monthly upgrade from Plus to Pro</t>
  </si>
  <si>
    <t>Free churn rate (monthly)</t>
  </si>
  <si>
    <t>Free users who stop using</t>
  </si>
  <si>
    <t>Plus churn rate (monthly)</t>
  </si>
  <si>
    <t>Paid churn; B2C SaaS median ~5-7%, set at lower end</t>
  </si>
  <si>
    <t>Pro churn rate (monthly)</t>
  </si>
  <si>
    <t>Lower churn at higher engagement tier; B2C floor ~3%</t>
  </si>
  <si>
    <t>PRICING ASSUMPTIONS</t>
  </si>
  <si>
    <t>Annual plan adoption rate</t>
  </si>
  <si>
    <t>Pct of paid users choosing annual</t>
  </si>
  <si>
    <t>Annual discount</t>
  </si>
  <si>
    <t>20% off vs monthly</t>
  </si>
  <si>
    <t>Blended ARPU — Plus</t>
  </si>
  <si>
    <t>Weighted monthly + annual mix</t>
  </si>
  <si>
    <t>Blended ARPU — Pro</t>
  </si>
  <si>
    <t>COST STRUCTURE</t>
  </si>
  <si>
    <t>COGS per paid user / mo</t>
  </si>
  <si>
    <t>Cloud infra + AI inference + data feeds (per-user marginal cost incl. AI API calls); AI-first premium</t>
  </si>
  <si>
    <t>COGS per free user / mo</t>
  </si>
  <si>
    <t>Minimal compute for free tier (dashboard rendering, basic alerts)</t>
  </si>
  <si>
    <t>CAC — Organic</t>
  </si>
  <si>
    <t>Content + SEO + referral program cost per signup</t>
  </si>
  <si>
    <t>CAC — Paid</t>
  </si>
  <si>
    <t>Blended CPI across Meta, Google, TikTok; fintech B2C $30-50 range, set at lower end</t>
  </si>
  <si>
    <t>CAC — Blended (formula)</t>
  </si>
  <si>
    <t>~70% organic / 30% paid mix</t>
  </si>
  <si>
    <t>HEADCOUNT PLAN</t>
  </si>
  <si>
    <t>Role</t>
  </si>
  <si>
    <t>M1-6</t>
  </si>
  <si>
    <t>M7-18</t>
  </si>
  <si>
    <t>M19-36</t>
  </si>
  <si>
    <t>Engineering</t>
  </si>
  <si>
    <t>Product &amp; Design</t>
  </si>
  <si>
    <t>Data Science / ML</t>
  </si>
  <si>
    <t>Marketing &amp; Growth</t>
  </si>
  <si>
    <t>Sales &amp; Partnerships</t>
  </si>
  <si>
    <t>G&amp;A (Finance, Legal, HR)</t>
  </si>
  <si>
    <t>Customer Support</t>
  </si>
  <si>
    <t>Total Headcount</t>
  </si>
  <si>
    <t>Avg fully-loaded cost / head / yr</t>
  </si>
  <si>
    <t>Remote-first; salary + benefits + equity + overhead</t>
  </si>
  <si>
    <t>FUNDING</t>
  </si>
  <si>
    <t>Seed round</t>
  </si>
  <si>
    <t>Pre-launch; Month 0</t>
  </si>
  <si>
    <t>Seed pre-money valuation</t>
  </si>
  <si>
    <t>Series A round</t>
  </si>
  <si>
    <t>Trigger on MRR milestone</t>
  </si>
  <si>
    <t>Series A pre-money valuation</t>
  </si>
  <si>
    <t>Series A trigger: MRR &gt;=</t>
  </si>
  <si>
    <t>Raise when MRR hits $300K</t>
  </si>
  <si>
    <t>OPERATING EXPENSES (NON-HEADCOUNT)</t>
  </si>
  <si>
    <t>Cloud infrastructure (base / mo)</t>
  </si>
  <si>
    <t>AWS/GCP base; lean start before per-user scaling</t>
  </si>
  <si>
    <t>AI/ML model costs (base / mo)</t>
  </si>
  <si>
    <t>Foundation model API base + fine-tuning compute (marginal AI inference is in COGS $1.20)</t>
  </si>
  <si>
    <t>Data feeds &amp; APIs (/ mo)</t>
  </si>
  <si>
    <t>Plaid, financial data providers</t>
  </si>
  <si>
    <t>Marketing spend (% of revenue)</t>
  </si>
  <si>
    <t>PLG-first; scales with revenue</t>
  </si>
  <si>
    <t>Office &amp; misc (/ mo)</t>
  </si>
  <si>
    <t>100% remote; no office costs</t>
  </si>
  <si>
    <t>INFRASTRUCTURE SCALING</t>
  </si>
  <si>
    <t>Cloud infra scaling ($/MAU/mo)</t>
  </si>
  <si>
    <t>Per-MAU increment on top of base $10K; covers DB, CDN, monitoring scaling</t>
  </si>
  <si>
    <t>AI/ML scaling ($/MAU/mo)</t>
  </si>
  <si>
    <t>Per-MAU increment on top of base $5K; covers inference scaling beyond COGS</t>
  </si>
  <si>
    <t>CUSTOMER VALUE PROPOSITION</t>
  </si>
  <si>
    <t>Plus: Expected annual benefit ($/yr)</t>
  </si>
  <si>
    <t>Basic Protect ~$150/yr (3 alerts/mo) + Grow ~$200/yr + Execute (5 scenario/mo) ~$150/yr</t>
  </si>
  <si>
    <t>Pro: Expected annual benefit ($/yr)</t>
  </si>
  <si>
    <t>Full Protect $235/yr + Grow $800/yr + Execute $500/yr + Govern $265/yr</t>
  </si>
  <si>
    <t>Plus: Annual cost to customer ($/yr)</t>
  </si>
  <si>
    <t>$7.99 x 12</t>
  </si>
  <si>
    <t>Pro: Annual cost to customer ($/yr)</t>
  </si>
  <si>
    <t>$19.99 x 12</t>
  </si>
  <si>
    <t>Plus: Customer ROI</t>
  </si>
  <si>
    <t>Target: &gt;3x for strong conversion</t>
  </si>
  <si>
    <t>Pro: Customer ROI</t>
  </si>
  <si>
    <t>POSEIDON.AI — User Growth Model</t>
  </si>
  <si>
    <t>36-Month Projection by Tier</t>
  </si>
  <si>
    <t>Metric</t>
  </si>
  <si>
    <t>Units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</si>
  <si>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</si>
  <si>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</si>
  <si>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</si>
  <si>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</si>
  <si>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</si>
  <si>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</si>
  <si>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</si>
  <si>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</si>
  <si>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</si>
  <si>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</si>
  <si>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</si>
  <si>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</si>
  <si>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</si>
  <si>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</si>
  <si>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</si>
  <si>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</si>
  <si>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</si>
  <si>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</si>
  <si>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</si>
  <si>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</si>
  <si>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</si>
  <si>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</si>
  <si>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</si>
  <si>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</si>
  <si>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</si>
  <si>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</si>
  <si>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</si>
  <si>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</si>
  <si>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</si>
  <si>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</si>
  <si>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</si>
  <si>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</si>
  <si>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</si>
  <si>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</si>
  <si>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</si>
  <si>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</si>
  <si>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NEW USER ACQUISITION</t>
  </si>
  <si>
    <t>New organic signups</t>
  </si>
  <si>
    <t>#</t>
  </si>
  <si>
    <t>New paid acquisition</t>
  </si>
  <si>
    <t>Viral / referral signups</t>
  </si>
  <si>
    <t>Total new signups</t>
  </si>
  <si>
    <t>FREE TIER USERS</t>
  </si>
  <si>
    <t>Free — Beginning of Month</t>
  </si>
  <si>
    <t xml:space="preserve">    Less: Convert to Plus</t>
  </si>
  <si>
    <t xml:space="preserve">    Less: Convert to Pro</t>
  </si>
  <si>
    <t xml:space="preserve">  Less: Churn</t>
  </si>
  <si>
    <t>Free — End of Month</t>
  </si>
  <si>
    <t>PLUS TIER USERS ($7.99/mo)</t>
  </si>
  <si>
    <t>Plus — Beginning of Month</t>
  </si>
  <si>
    <t xml:space="preserve">  Add: Conversions from Free</t>
  </si>
  <si>
    <t xml:space="preserve">  Less: Upgrade to Pro</t>
  </si>
  <si>
    <t>Plus — End of Month</t>
  </si>
  <si>
    <t>PRO TIER USERS ($19.99/mo)</t>
  </si>
  <si>
    <t>Pro — Beginning of Month</t>
  </si>
  <si>
    <t xml:space="preserve">  Add: Conversions (Free + Plus)</t>
  </si>
  <si>
    <t>Pro — End of Month</t>
  </si>
  <si>
    <t>TOTAL METRICS</t>
  </si>
  <si>
    <t>Total MAU</t>
  </si>
  <si>
    <t>Total Paid Users</t>
  </si>
  <si>
    <t>Paid %</t>
  </si>
  <si>
    <t>%</t>
  </si>
  <si>
    <t>POSEIDON.AI — Revenue Model</t>
  </si>
  <si>
    <t>MRR / ARR by Tier</t>
  </si>
  <si>
    <t>MRR BY TIER</t>
  </si>
  <si>
    <t>Plus MRR</t>
  </si>
  <si>
    <t>$</t>
  </si>
  <si>
    <t>Pro MRR</t>
  </si>
  <si>
    <t>Total MRR</t>
  </si>
  <si>
    <t>ARR (MRR x 12)</t>
  </si>
  <si>
    <t>MRR MOVEMENTS</t>
  </si>
  <si>
    <t>New MRR (new conversions)</t>
  </si>
  <si>
    <t>Expansion MRR (upgrades)</t>
  </si>
  <si>
    <t>Churned MRR</t>
  </si>
  <si>
    <t>Net New MRR</t>
  </si>
  <si>
    <t>REVENUE</t>
  </si>
  <si>
    <t>Monthly Revenue</t>
  </si>
  <si>
    <t>Cumulative Revenue</t>
  </si>
  <si>
    <t>Blended ARPU (paid users)</t>
  </si>
  <si>
    <t>Net Revenue Retention (NRR)</t>
  </si>
  <si>
    <t>POSEIDON.AI — Cost Structure</t>
  </si>
  <si>
    <t>COGS + OpEx + Headcount</t>
  </si>
  <si>
    <t>COST OF GOODS SOLD (COGS)</t>
  </si>
  <si>
    <t>COGS — Free users</t>
  </si>
  <si>
    <t>COGS — Paid users</t>
  </si>
  <si>
    <t>Total COGS</t>
  </si>
  <si>
    <t>HEADCOUNT COSTS</t>
  </si>
  <si>
    <t>Headcount (FTEs)</t>
  </si>
  <si>
    <t>Total Payroll</t>
  </si>
  <si>
    <t>OPERATING EXPENSES</t>
  </si>
  <si>
    <t>Cloud infrastructure (base + scaling)</t>
  </si>
  <si>
    <t>AI/ML model costs (base + scaling)</t>
  </si>
  <si>
    <t>Data feeds &amp; APIs</t>
  </si>
  <si>
    <t>Office &amp; Misc</t>
  </si>
  <si>
    <t>Total OpEx (non-COGS)</t>
  </si>
  <si>
    <t>PROFITABILITY</t>
  </si>
  <si>
    <t>Total Costs</t>
  </si>
  <si>
    <t>Gross Profit</t>
  </si>
  <si>
    <t>Gross Margin</t>
  </si>
  <si>
    <t>Operating Profit (EBITDA proxy)</t>
  </si>
  <si>
    <t>Operating Margin</t>
  </si>
  <si>
    <t>POSEIDON.AI — Unit Economics</t>
  </si>
  <si>
    <t>CAC, LTV, Payback Period, Contribution Margin</t>
  </si>
  <si>
    <t>CUSTOMER ACQUISITION COST (CAC)</t>
  </si>
  <si>
    <t>Blended CAC</t>
  </si>
  <si>
    <t>CAC Payback — Plus (months)</t>
  </si>
  <si>
    <t>Months to recover CAC from Plus subscriber</t>
  </si>
  <si>
    <t>CAC Payback — Pro (months)</t>
  </si>
  <si>
    <t>LIFETIME VALUE (LTV)</t>
  </si>
  <si>
    <t>Plus avg lifetime (months)</t>
  </si>
  <si>
    <t>1 / monthly churn rate</t>
  </si>
  <si>
    <t>Pro avg lifetime (months)</t>
  </si>
  <si>
    <t>LTV — Plus</t>
  </si>
  <si>
    <t>(ARPU - COGS) x avg lifetime</t>
  </si>
  <si>
    <t>LTV — Pro</t>
  </si>
  <si>
    <t>LTV / CAC — Plus</t>
  </si>
  <si>
    <t>Target: &gt;3.0x for healthy SaaS</t>
  </si>
  <si>
    <t>LTV / CAC — Pro</t>
  </si>
  <si>
    <t>CONTRIBUTION MARGIN (PER USER / MONTH)</t>
  </si>
  <si>
    <t>Plus: Revenue per user</t>
  </si>
  <si>
    <t>Plus: COGS per user</t>
  </si>
  <si>
    <t>Plus: Contribution margin</t>
  </si>
  <si>
    <t>Plus: Contribution margin %</t>
  </si>
  <si>
    <t>Pro: Revenue per user</t>
  </si>
  <si>
    <t>Pro: COGS per user</t>
  </si>
  <si>
    <t>Pro: Contribution margin</t>
  </si>
  <si>
    <t>Pro: Contribution margin %</t>
  </si>
  <si>
    <t>SNAPSHOT METRICS (from model)</t>
  </si>
  <si>
    <t>Total Paid</t>
  </si>
  <si>
    <t>MRR</t>
  </si>
  <si>
    <t>ARR</t>
  </si>
  <si>
    <t>Op Margin</t>
  </si>
  <si>
    <t>NRR (monthly)</t>
  </si>
  <si>
    <t>BREAK-EVEN ANALYSIS</t>
  </si>
  <si>
    <t>Plus % of total MAU at break-even</t>
  </si>
  <si>
    <t>Actual model ratio at M15 (~15.9%)</t>
  </si>
  <si>
    <t>Pro % of total MAU at break-even</t>
  </si>
  <si>
    <t>Actual model ratio at M15 (~6.0%)</t>
  </si>
  <si>
    <t>Free % of total MAU (derived)</t>
  </si>
  <si>
    <t>PER-USER ECONOMICS AT BREAK-EVEN MIX</t>
  </si>
  <si>
    <t>Revenue per MAU (monthly)</t>
  </si>
  <si>
    <t>Plus% x ARPU_plus + Pro% x ARPU_pro</t>
  </si>
  <si>
    <t>COGS per MAU (monthly)</t>
  </si>
  <si>
    <t>Free% x COGS_free + Paid% x COGS_paid</t>
  </si>
  <si>
    <t>Marketing cost per MAU (% of rev)</t>
  </si>
  <si>
    <t>Net contribution per MAU</t>
  </si>
  <si>
    <t>Revenue - COGS - Marketing per user per month</t>
  </si>
  <si>
    <t>BREAK-EVEN MAU BY HEADCOUNT PHASE</t>
  </si>
  <si>
    <t>Phase 1 monthly payroll (10 FTEs)</t>
  </si>
  <si>
    <t>Phase 1 fixed OpEx (non-marketing)</t>
  </si>
  <si>
    <t>Phase 1 total monthly fixed costs</t>
  </si>
  <si>
    <t>Break-even MAU (Phase 1)</t>
  </si>
  <si>
    <t>Total users needed to cover Phase 1 costs</t>
  </si>
  <si>
    <t>Phase 2 monthly payroll (18 FTEs)</t>
  </si>
  <si>
    <t>Phase 2 fixed OpEx (non-marketing)</t>
  </si>
  <si>
    <t>Phase 2 total monthly fixed costs</t>
  </si>
  <si>
    <t>Break-even MAU (Phase 2)</t>
  </si>
  <si>
    <t>This is the phase when break-even actually occurs</t>
  </si>
  <si>
    <t>Phase 3 monthly payroll (35 FTEs)</t>
  </si>
  <si>
    <t>Phase 3 fixed OpEx (non-marketing)</t>
  </si>
  <si>
    <t>Phase 3 total monthly fixed costs</t>
  </si>
  <si>
    <t>Break-even MAU (Phase 3)</t>
  </si>
  <si>
    <t>MODEL-DERIVED BREAK-EVEN (from 36-month projection)</t>
  </si>
  <si>
    <t>Months with negative op profit</t>
  </si>
  <si>
    <t>First profitable month (#)</t>
  </si>
  <si>
    <t>Month number where operating profit first &gt;= 0</t>
  </si>
  <si>
    <t>MAU at break-even month</t>
  </si>
  <si>
    <t>Actual user count from model at profitability month</t>
  </si>
  <si>
    <t>Paid users at break-even month</t>
  </si>
  <si>
    <t>Paid % at break-even month</t>
  </si>
  <si>
    <t>MRR at break-even month</t>
  </si>
  <si>
    <t>ARR at break-even month</t>
  </si>
  <si>
    <t>POSEIDON.AI — Cash Flow &amp; Funding</t>
  </si>
  <si>
    <t>Burn Rate, Runway, Seed + Series A</t>
  </si>
  <si>
    <t>OPERATING CASH FLOW</t>
  </si>
  <si>
    <t>Revenue</t>
  </si>
  <si>
    <t>Net Burn / (Profit)</t>
  </si>
  <si>
    <t>FUNDING EVENTS</t>
  </si>
  <si>
    <t>Seed Round</t>
  </si>
  <si>
    <t>Series A</t>
  </si>
  <si>
    <t>Total Funding In</t>
  </si>
  <si>
    <t>CASH POSITION</t>
  </si>
  <si>
    <t>Cash — Beginning of Month</t>
  </si>
  <si>
    <t>Cash In (revenue + funding)</t>
  </si>
  <si>
    <t>Cash Out (costs)</t>
  </si>
  <si>
    <t>Net Cash Flow</t>
  </si>
  <si>
    <t>Cash — End of Month</t>
  </si>
  <si>
    <t>RUNWAY &amp; BURN</t>
  </si>
  <si>
    <t>Runway (months at current burn)</t>
  </si>
  <si>
    <t>Cumulative Net Burn</t>
  </si>
  <si>
    <t>POSEIDON.AI — Financial Dashboard</t>
  </si>
  <si>
    <t>Month</t>
  </si>
  <si>
    <t>Paid Users</t>
  </si>
  <si>
    <t>MRR ($)</t>
  </si>
  <si>
    <t>ARR ($)</t>
  </si>
  <si>
    <t>Cash ($)</t>
  </si>
  <si>
    <t>Op Profit ($)</t>
  </si>
  <si>
    <t>NRR (%)</t>
  </si>
  <si>
    <t>POSEIDON.AI — Slide Metrics Calculation Basis</t>
  </si>
  <si>
    <t>All slide figures should be traceable to formulas in this sheet.</t>
  </si>
  <si>
    <t>SLIDE 9: STRATEGY SUMMARY — Business Model Card</t>
  </si>
  <si>
    <t>Model Value</t>
  </si>
  <si>
    <t>Slide Value</t>
  </si>
  <si>
    <t>Match?</t>
  </si>
  <si>
    <t>Formula / Source</t>
  </si>
  <si>
    <t>Gross Margin (at M12)</t>
  </si>
  <si>
    <t>87%</t>
  </si>
  <si>
    <t>MISMATCH</t>
  </si>
  <si>
    <t>Model: ~74.5% at M12. 87% not reached at any month. Slide needs correction.</t>
  </si>
  <si>
    <t>Gross Margin (at M18)</t>
  </si>
  <si>
    <t>REF</t>
  </si>
  <si>
    <t>76.5% at M18. Max in model is 79.3% at M36.</t>
  </si>
  <si>
    <t>Gross Margin (at M36)</t>
  </si>
  <si>
    <t>79.3% at M36. Theoretical max if COGS goes to $0 = 100%.</t>
  </si>
  <si>
    <t>Op. Break-even Month</t>
  </si>
  <si>
    <t>Month 12</t>
  </si>
  <si>
    <t>Model: M10 is first month with positive OpProfit ($27,526). M9 = -$13,272.</t>
  </si>
  <si>
    <t>Value / Cost — Plus (Customer ROI)</t>
  </si>
  <si>
    <t>Value / Cost — Pro (Customer ROI)</t>
  </si>
  <si>
    <t>Value / Cost — Blended (slide uses this)</t>
  </si>
  <si>
    <t>6x</t>
  </si>
  <si>
    <t>~OK</t>
  </si>
  <si>
    <t>Blended = (5.2x * 16% + 7.5x * 6%) / (16% + 6%) = ~5.8x. Slide rounds to 6x.</t>
  </si>
  <si>
    <t>SLIDE 11: BUSINESS MODEL DETAIL</t>
  </si>
  <si>
    <t>17x</t>
  </si>
  <si>
    <t>Model: 10.0x = LTV $108.61 / CAC $10.85. Slide says 17x.</t>
  </si>
  <si>
    <t>77x</t>
  </si>
  <si>
    <t>Model: 51.0x = LTV $553.02 / CAC $10.85. Slide says 77x.</t>
  </si>
  <si>
    <t xml:space="preserve">  LTV — Plus</t>
  </si>
  <si>
    <t xml:space="preserve">  LTV — Pro</t>
  </si>
  <si>
    <t xml:space="preserve">  Blended CAC</t>
  </si>
  <si>
    <t>Contribution Margin — Plus</t>
  </si>
  <si>
    <t>73%</t>
  </si>
  <si>
    <t>OK</t>
  </si>
  <si>
    <t>Contribution Margin — Pro</t>
  </si>
  <si>
    <t>89%</t>
  </si>
  <si>
    <t>Gross Margin (slide label)</t>
  </si>
  <si>
    <t>86%</t>
  </si>
  <si>
    <t>Model Gross Margin at M12 = 74.5%. 86% is not a model output. Possibly confused with Pro contribution margin (89%).</t>
  </si>
  <si>
    <t>Operating Breakeven Month</t>
  </si>
  <si>
    <t>Month 6</t>
  </si>
  <si>
    <t>Model: M10. M9 OpProfit=-$13,272, M10=+$27,526. Month 6 is incorrect.</t>
  </si>
  <si>
    <t>J-CURVE CHART MILESTONES</t>
  </si>
  <si>
    <t>Monthly Breakeven (OpProfit &gt;= 0)</t>
  </si>
  <si>
    <t>Month where Costs!Row23 first &gt;= 0. M10: OpProfit = $27,526.</t>
  </si>
  <si>
    <t xml:space="preserve">  MRR at Breakeven</t>
  </si>
  <si>
    <t>Revenue!Row8 at breakeven month = $420,277</t>
  </si>
  <si>
    <t xml:space="preserve">  ARR at Breakeven</t>
  </si>
  <si>
    <t>Cumulative Payback (CumBurn &gt;= 0)</t>
  </si>
  <si>
    <t>Month where Cash Flow!Row21 (Cumulative Net Burn) first &gt;= 0. M15: +$202,352.</t>
  </si>
  <si>
    <t>Series A Trigger (MRR &gt;= $300K)</t>
  </si>
  <si>
    <t>Month where MRR first &gt;= $300K. M9: MRR = $338,699.</t>
  </si>
  <si>
    <t>M18 ARR</t>
  </si>
  <si>
    <t>M18 Monthly Op Profit</t>
  </si>
  <si>
    <t>Revenue - Total Costs = $576,600/mo</t>
  </si>
  <si>
    <t>MARKET OPPORTUNITY (requires external sources)</t>
  </si>
  <si>
    <t>TAM — US Personal Finance Software</t>
  </si>
  <si>
    <t>$7B</t>
  </si>
  <si>
    <t>VERIFY</t>
  </si>
  <si>
    <t>Source needed. US personal finance software market. Verify with Statista/IBISWorld.</t>
  </si>
  <si>
    <t>SAM — AI-Native Financial Coordination</t>
  </si>
  <si>
    <t>$1.5B</t>
  </si>
  <si>
    <t>Source needed. Subset of TAM for AI-powered coordination tools. Justify % of TAM.</t>
  </si>
  <si>
    <t>3-Year Revenue Capture (from model)</t>
  </si>
  <si>
    <t>$25M</t>
  </si>
  <si>
    <t>Model cumulative revenue M1-M36 = $83.8M. $25M appears to be ~Year 1+partial Year 2.</t>
  </si>
  <si>
    <t xml:space="preserve">  Year 1 Revenue (M1-M12)</t>
  </si>
  <si>
    <t xml:space="preserve">  Year 2 Revenue (M13-M24)</t>
  </si>
  <si>
    <t xml:space="preserve">  Year 3 Revenue (M25-M36)</t>
  </si>
  <si>
    <t>HEADCOUNT &amp; AI LEVERAGE (Subtitle Basis)</t>
  </si>
  <si>
    <t>Traditional team size (industry benchmark)</t>
  </si>
  <si>
    <t>35</t>
  </si>
  <si>
    <t>INPUT</t>
  </si>
  <si>
    <t>Estimate: comparable fintech at this stage typically needs ~35 FTEs. Source: team judgment.</t>
  </si>
  <si>
    <t>Poseidon team size (Phase 2: M7-M18)</t>
  </si>
  <si>
    <t>18</t>
  </si>
  <si>
    <t>Assumptions sheet: Phase 2 headcount. Model says 12 (M7-M18). Slide says 18.</t>
  </si>
  <si>
    <t>Productivity multiplier</t>
  </si>
  <si>
    <t>~2x</t>
  </si>
  <si>
    <t>DISCREPANCY SUMMARY — ACTION REQUIRED</t>
  </si>
  <si>
    <t>Slide / Metric</t>
  </si>
  <si>
    <t>Recommended Action</t>
  </si>
  <si>
    <t>Slide 9: Gross Margin</t>
  </si>
  <si>
    <t>74.5% (M12)</t>
  </si>
  <si>
    <t>Use contribution margin (73%/89%) or correct to model GM. If "at scale" intended, specify M36 = 79.3%.</t>
  </si>
  <si>
    <t>Slide 9: Op. Break-even</t>
  </si>
  <si>
    <t>Month 10</t>
  </si>
  <si>
    <t>M10 is first month with positive OpProfit. Correct slide to Month 10.</t>
  </si>
  <si>
    <t>Slide 9: Value / Cost</t>
  </si>
  <si>
    <t>~5.8x blended</t>
  </si>
  <si>
    <t>Acceptable rounding. Consider showing 5x/8x (Plus/Pro) or ~6x blended.</t>
  </si>
  <si>
    <t>Slide 11: LTV/CAC Plus</t>
  </si>
  <si>
    <t>10.0x</t>
  </si>
  <si>
    <t>Significant. Correct to 10x. Was 17x calculated with different assumptions?</t>
  </si>
  <si>
    <t>Slide 11: LTV/CAC Pro</t>
  </si>
  <si>
    <t>51.0x</t>
  </si>
  <si>
    <t>Significant. Correct to 51x.</t>
  </si>
  <si>
    <t>Slide 11: Gross Margin</t>
  </si>
  <si>
    <t>Same issue as Slide 9. Correct.</t>
  </si>
  <si>
    <t>Slide 11: Op Profitability</t>
  </si>
  <si>
    <t>Significant. M6 OpProfit = -$67,303. Correct to Month 10.</t>
  </si>
  <si>
    <t>Slide 11: 3-Year Capture</t>
  </si>
  <si>
    <t>$83.8M cumulative</t>
  </si>
  <si>
    <t>If $25M is intentional (conservative), document the basis. Model shows $83.8M.</t>
  </si>
  <si>
    <t>Headcount Phase 2</t>
  </si>
  <si>
    <t>18 FTEs</t>
  </si>
  <si>
    <t>12 FTEs (model)</t>
  </si>
  <si>
    <t>Model Assumptions!C47 shows 12 for M7-M18. If 18 is intended, update model.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</si>
</sst>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\$#,##0"/>
    <numFmt numFmtId="165" formatCode="\$#,##0.00"/>
    <numFmt numFmtId="166" formatCode="0.0%"/>
    <numFmt numFmtId="167" formatCode="0.000"/>
    <numFmt numFmtId="168" formatCode="\$#,##0;\(\$#,##0\);&quot;-&quot;"/>
    <numFmt numFmtId="169" formatCode="0.0"/>
    <numFmt numFmtId="170" formatCode="0.0\x"/>
    <numFmt numFmtId="171" formatCode="\$#,##0.000"/>
    <numFmt numFmtId="172" formatCode="0.0&quot;x&quot;"/>
    <numFmt numFmtId="173" formatCode="&quot;M&quot;0"/>
    <numFmt numFmtId="175" formatCode="\$#,##0,,&quot;M&quot;"/>
    <numFmt numFmtId="176" formatCode="\$#,##0.0,,&quot;B&quot;"/>
  </numFmts>
  <fonts count="20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i/>
      <sz val="10"/>
      <color rgb="FF666666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9"/>
      <color rgb="FF666666"/>
      <name val="Arial"/>
      <family val="2"/>
    </font>
    <font>
      <i/>
      <sz val="9"/>
      <color rgb="FF888888"/>
      <name val="Arial"/>
      <family val="2"/>
    </font>
    <font>
      <sz val="9"/>
      <color rgb="FF888888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b/>
      <sz val="11"/>
      <name val="Calibri"/>
      <family val="2"/>
    </font>
    <font>
      <b/>
      <sz val="14"/>
      <color rgb="FF0D9488"/>
      <name val="Arial"/>
      <family val="2"/>
    </font>
    <font>
      <i/>
      <sz val="9"/>
      <color rgb="FF666666"/>
      <name val="Arial"/>
      <family val="2"/>
    </font>
    <font>
      <b/>
      <sz val="11"/>
      <color rgb="FF1E293B"/>
      <name val="Arial"/>
      <family val="2"/>
    </font>
    <font>
      <sz val="10"/>
      <color rgb="FF333333"/>
      <name val="Arial"/>
      <family val="2"/>
    </font>
    <font>
      <b/>
      <sz val="10"/>
      <color rgb="FFFF0000"/>
      <name val="Arial"/>
      <family val="2"/>
    </font>
    <font>
      <b/>
      <sz val="10"/>
      <color rgb="FFD97706"/>
      <name val="Arial"/>
      <family val="2"/>
    </font>
    <font>
      <b/>
      <sz val="10"/>
      <color rgb="FF008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E8F0FE"/>
      </patternFill>
    </fill>
    <fill>
      <patternFill patternType="solid">
        <fgColor rgb="FF0B1221"/>
      </patternFill>
    </fill>
    <fill>
      <patternFill patternType="solid">
        <fgColor rgb="FFE2F0F0"/>
      </patternFill>
    </fill>
    <fill>
      <patternFill patternType="solid">
        <fgColor rgb="FFFFF0F0"/>
      </patternFill>
    </fill>
    <fill>
      <patternFill patternType="solid">
        <fgColor rgb="FFFFFFF0"/>
      </patternFill>
    </fill>
    <fill>
      <patternFill patternType="solid">
        <fgColor rgb="FFF0FFF0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1" xfId="0" applyFont="1" applyBorder="1"/>
    <xf numFmtId="0" fontId="5" fillId="0" borderId="0" xfId="0" applyFont="1"/>
    <xf numFmtId="164" fontId="6" fillId="0" borderId="0" xfId="0" applyNumberFormat="1" applyFont="1"/>
    <xf numFmtId="0" fontId="7" fillId="0" borderId="0" xfId="0" applyFont="1"/>
    <xf numFmtId="165" fontId="6" fillId="0" borderId="0" xfId="0" applyNumberFormat="1" applyFont="1"/>
    <xf numFmtId="165" fontId="5" fillId="0" borderId="0" xfId="0" applyNumberFormat="1" applyFont="1"/>
    <xf numFmtId="3" fontId="6" fillId="0" borderId="0" xfId="0" applyNumberFormat="1" applyFont="1"/>
    <xf numFmtId="0" fontId="8" fillId="0" borderId="0" xfId="0" applyFont="1"/>
    <xf numFmtId="166" fontId="6" fillId="0" borderId="0" xfId="0" applyNumberFormat="1" applyFont="1"/>
    <xf numFmtId="10" fontId="6" fillId="0" borderId="0" xfId="0" applyNumberFormat="1" applyFont="1"/>
    <xf numFmtId="167" fontId="6" fillId="0" borderId="0" xfId="0" applyNumberFormat="1" applyFont="1"/>
    <xf numFmtId="0" fontId="9" fillId="0" borderId="0" xfId="0" applyFont="1"/>
    <xf numFmtId="0" fontId="4" fillId="0" borderId="0" xfId="0" applyFont="1"/>
    <xf numFmtId="3" fontId="4" fillId="0" borderId="0" xfId="0" applyNumberFormat="1" applyFont="1"/>
    <xf numFmtId="0" fontId="10" fillId="3" borderId="0" xfId="0" applyFont="1" applyFill="1"/>
    <xf numFmtId="0" fontId="10" fillId="3" borderId="0" xfId="0" applyFont="1" applyFill="1" applyAlignment="1">
      <alignment horizontal="center"/>
    </xf>
    <xf numFmtId="3" fontId="11" fillId="0" borderId="0" xfId="0" applyNumberFormat="1" applyFont="1"/>
    <xf numFmtId="3" fontId="5" fillId="0" borderId="0" xfId="0" applyNumberFormat="1" applyFont="1"/>
    <xf numFmtId="166" fontId="5" fillId="0" borderId="0" xfId="0" applyNumberFormat="1" applyFont="1"/>
    <xf numFmtId="164" fontId="11" fillId="0" borderId="0" xfId="0" applyNumberFormat="1" applyFont="1"/>
    <xf numFmtId="164" fontId="4" fillId="0" borderId="0" xfId="0" applyNumberFormat="1" applyFont="1"/>
    <xf numFmtId="168" fontId="11" fillId="0" borderId="0" xfId="0" applyNumberFormat="1" applyFont="1"/>
    <xf numFmtId="168" fontId="4" fillId="0" borderId="0" xfId="0" applyNumberFormat="1" applyFont="1"/>
    <xf numFmtId="164" fontId="5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169" fontId="5" fillId="0" borderId="0" xfId="0" applyNumberFormat="1" applyFont="1"/>
    <xf numFmtId="170" fontId="5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171" fontId="5" fillId="0" borderId="0" xfId="0" applyNumberFormat="1" applyFont="1"/>
    <xf numFmtId="171" fontId="11" fillId="0" borderId="0" xfId="0" applyNumberFormat="1" applyFont="1"/>
    <xf numFmtId="1" fontId="5" fillId="0" borderId="0" xfId="0" applyNumberFormat="1" applyFont="1"/>
    <xf numFmtId="168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3" fillId="4" borderId="0" xfId="0" applyFont="1" applyFill="1"/>
    <xf numFmtId="0" fontId="0" fillId="4" borderId="0" xfId="0" applyFill="1"/>
    <xf numFmtId="0" fontId="15" fillId="0" borderId="2" xfId="0" applyFont="1" applyBorder="1"/>
    <xf numFmtId="0" fontId="16" fillId="0" borderId="0" xfId="0" applyFont="1"/>
    <xf numFmtId="0" fontId="6" fillId="0" borderId="0" xfId="0" applyFont="1"/>
    <xf numFmtId="0" fontId="17" fillId="5" borderId="0" xfId="0" applyFont="1" applyFill="1"/>
    <xf numFmtId="0" fontId="14" fillId="6" borderId="0" xfId="0" applyFont="1" applyFill="1"/>
    <xf numFmtId="1" fontId="11" fillId="0" borderId="0" xfId="0" applyNumberFormat="1" applyFont="1"/>
    <xf numFmtId="172" fontId="11" fillId="0" borderId="0" xfId="0" applyNumberFormat="1" applyFont="1"/>
    <xf numFmtId="172" fontId="5" fillId="0" borderId="0" xfId="0" applyNumberFormat="1" applyFont="1"/>
    <xf numFmtId="0" fontId="18" fillId="6" borderId="0" xfId="0" applyFont="1" applyFill="1"/>
    <xf numFmtId="0" fontId="19" fillId="7" borderId="0" xfId="0" applyFont="1" applyFill="1"/>
    <xf numFmtId="173" fontId="11" fillId="0" borderId="0" xfId="0" applyNumberFormat="1" applyFont="1"/>
    <xf numFmtId="173" fontId="5" fillId="0" borderId="0" xfId="0" applyNumberFormat="1" applyFont="1"/>
    <xf numFmtId="175" fontId="5" fillId="0" borderId="0" xfId="0" applyNumberFormat="1" applyFont="1"/>
    <xf numFmtId="0" fontId="11" fillId="0" borderId="0" xfId="0" applyFont="1"/>
    <xf numFmtId="0" fontId="17" fillId="0" borderId="0" xfId="0" applyFont="1"/>
    <xf numFmtId="173" fontId="5" fillId="8" borderId="0" xfId="0" applyNumberFormat="1" applyFont="1" applyFill="1"/>
    <xf numFmtId="166" fontId="11" fillId="8" borderId="0" xfId="0" applyNumberFormat="1" applyFont="1" applyFill="1"/>
    <xf numFmtId="1" fontId="11" fillId="8" borderId="0" xfId="0" applyNumberFormat="1" applyFont="1" applyFill="1"/>
    <xf numFmtId="172" fontId="5" fillId="8" borderId="0" xfId="0" applyNumberFormat="1" applyFont="1" applyFill="1"/>
    <xf numFmtId="0" fontId="6" fillId="9" borderId="0" xfId="0" applyFont="1" applyFill="1"/>
    <xf numFmtId="176" fontId="6" fillId="9" borderId="0" xfId="0" applyNumberFormat="1" applyFont="1" applyFill="1"/>
    <xf numFmtId="175" fontId="11" fillId="9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User Growth (MAU)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Dashboard!$A$4</c:f>
              <c:strCache>
                <c:ptCount val="1"/>
                <c:pt idx="0">
                  <c:v>Total MAU</c:v>
                </c:pt>
              </c:strCache>
            </c:strRef>
          </c:tx>
          <c:spPr>
            <a:ln>
              <a:solidFill>
                <a:srgbClr val="00F0FF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Dashboard!$B$4:$AK$4</c:f>
              <c:numCache>
                <c:formatCode>#,##0</c:formatCode>
                <c:ptCount val="36"/>
                <c:pt idx="0">
                  <c:v>9639</c:v>
                </c:pt>
                <c:pt idx="1">
                  <c:v>20109</c:v>
                </c:pt>
                <c:pt idx="2">
                  <c:v>31460</c:v>
                </c:pt>
                <c:pt idx="3">
                  <c:v>43737</c:v>
                </c:pt>
                <c:pt idx="4">
                  <c:v>56986</c:v>
                </c:pt>
                <c:pt idx="5">
                  <c:v>71249</c:v>
                </c:pt>
                <c:pt idx="6">
                  <c:v>86565</c:v>
                </c:pt>
                <c:pt idx="7">
                  <c:v>102970</c:v>
                </c:pt>
                <c:pt idx="8">
                  <c:v>120499</c:v>
                </c:pt>
                <c:pt idx="9">
                  <c:v>139183</c:v>
                </c:pt>
                <c:pt idx="10">
                  <c:v>159051</c:v>
                </c:pt>
                <c:pt idx="11">
                  <c:v>180130</c:v>
                </c:pt>
                <c:pt idx="12">
                  <c:v>202443</c:v>
                </c:pt>
                <c:pt idx="13">
                  <c:v>226011</c:v>
                </c:pt>
                <c:pt idx="14">
                  <c:v>250853</c:v>
                </c:pt>
                <c:pt idx="15">
                  <c:v>276985</c:v>
                </c:pt>
                <c:pt idx="16">
                  <c:v>304419</c:v>
                </c:pt>
                <c:pt idx="17">
                  <c:v>333168</c:v>
                </c:pt>
                <c:pt idx="18">
                  <c:v>363241</c:v>
                </c:pt>
                <c:pt idx="19">
                  <c:v>394646</c:v>
                </c:pt>
                <c:pt idx="20">
                  <c:v>427387</c:v>
                </c:pt>
                <c:pt idx="21">
                  <c:v>461469</c:v>
                </c:pt>
                <c:pt idx="22">
                  <c:v>496893</c:v>
                </c:pt>
                <c:pt idx="23">
                  <c:v>533659</c:v>
                </c:pt>
                <c:pt idx="24">
                  <c:v>571767</c:v>
                </c:pt>
                <c:pt idx="25">
                  <c:v>611214</c:v>
                </c:pt>
                <c:pt idx="26">
                  <c:v>651997</c:v>
                </c:pt>
                <c:pt idx="27">
                  <c:v>694113</c:v>
                </c:pt>
                <c:pt idx="28">
                  <c:v>737557</c:v>
                </c:pt>
                <c:pt idx="29">
                  <c:v>782322</c:v>
                </c:pt>
                <c:pt idx="30">
                  <c:v>828404</c:v>
                </c:pt>
                <c:pt idx="31">
                  <c:v>875794</c:v>
                </c:pt>
                <c:pt idx="32">
                  <c:v>924487</c:v>
                </c:pt>
                <c:pt idx="33">
                  <c:v>974473</c:v>
                </c:pt>
                <c:pt idx="34">
                  <c:v>1025745</c:v>
                </c:pt>
                <c:pt idx="35">
                  <c:v>1078296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C4-D448-AEB4-DDE5BEECB052}"/>
            </c:ext>
          </c:extLst>
        </c:ser>
        <c:ser>
          <c:idx val="1"/>
          <c:order val="1"/>
          <c:tx>
            <c:strRef>
              <c:f>Dashboard!$A$5</c:f>
              <c:strCache>
                <c:ptCount val="1"/>
                <c:pt idx="0">
                  <c:v>Paid Users</c:v>
                </c:pt>
              </c:strCache>
            </c:strRef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Dashboard!$B$5:$AK$5</c:f>
              <c:numCache>
                <c:formatCode>#,##0</c:formatCode>
                <c:ptCount val="36"/>
                <c:pt idx="0">
                  <c:v>431</c:v>
                </c:pt>
                <c:pt idx="1">
                  <c:v>1291</c:v>
                </c:pt>
                <c:pt idx="2">
                  <c:v>2581</c:v>
                </c:pt>
                <c:pt idx="3">
                  <c:v>4305</c:v>
                </c:pt>
                <c:pt idx="4">
                  <c:v>6468</c:v>
                </c:pt>
                <c:pt idx="5">
                  <c:v>9077</c:v>
                </c:pt>
                <c:pt idx="6">
                  <c:v>12140</c:v>
                </c:pt>
                <c:pt idx="7">
                  <c:v>15666</c:v>
                </c:pt>
                <c:pt idx="8">
                  <c:v>19665</c:v>
                </c:pt>
                <c:pt idx="9">
                  <c:v>24148</c:v>
                </c:pt>
                <c:pt idx="10">
                  <c:v>29125</c:v>
                </c:pt>
                <c:pt idx="11">
                  <c:v>34609</c:v>
                </c:pt>
                <c:pt idx="12">
                  <c:v>40611</c:v>
                </c:pt>
                <c:pt idx="13">
                  <c:v>47142</c:v>
                </c:pt>
                <c:pt idx="14">
                  <c:v>54214</c:v>
                </c:pt>
                <c:pt idx="15">
                  <c:v>61838</c:v>
                </c:pt>
                <c:pt idx="16">
                  <c:v>70023</c:v>
                </c:pt>
                <c:pt idx="17">
                  <c:v>78782</c:v>
                </c:pt>
                <c:pt idx="18">
                  <c:v>88126</c:v>
                </c:pt>
                <c:pt idx="19">
                  <c:v>98062</c:v>
                </c:pt>
                <c:pt idx="20">
                  <c:v>108601</c:v>
                </c:pt>
                <c:pt idx="21">
                  <c:v>119752</c:v>
                </c:pt>
                <c:pt idx="22">
                  <c:v>131522</c:v>
                </c:pt>
                <c:pt idx="23">
                  <c:v>143918</c:v>
                </c:pt>
                <c:pt idx="24">
                  <c:v>156948</c:v>
                </c:pt>
                <c:pt idx="25">
                  <c:v>170617</c:v>
                </c:pt>
                <c:pt idx="26">
                  <c:v>184931</c:v>
                </c:pt>
                <c:pt idx="27">
                  <c:v>199895</c:v>
                </c:pt>
                <c:pt idx="28">
                  <c:v>215514</c:v>
                </c:pt>
                <c:pt idx="29">
                  <c:v>231791</c:v>
                </c:pt>
                <c:pt idx="30">
                  <c:v>248731</c:v>
                </c:pt>
                <c:pt idx="31">
                  <c:v>266335</c:v>
                </c:pt>
                <c:pt idx="32">
                  <c:v>284607</c:v>
                </c:pt>
                <c:pt idx="33">
                  <c:v>303547</c:v>
                </c:pt>
                <c:pt idx="34">
                  <c:v>323156</c:v>
                </c:pt>
                <c:pt idx="35">
                  <c:v>343437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EC4-D448-AEB4-DDE5BEEC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Users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MRR &amp; ARR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Dashboard!$A$6</c:f>
              <c:strCache>
                <c:ptCount val="1"/>
                <c:pt idx="0">
                  <c:v>MRR ($)</c:v>
                </c:pt>
              </c:strCache>
            </c:strRef>
          </c:tx>
          <c:spPr>
            <a:ln>
              <a:solidFill>
                <a:srgbClr val="14B8A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Dashboard!$B$6:$AK$6</c:f>
              <c:numCache>
                <c:formatCode>\$#,##0</c:formatCode>
                <c:ptCount val="36"/>
                <c:pt idx="0">
                  <c:v>4184.7116999999998</c:v>
                </c:pt>
                <c:pt idx="1">
                  <c:v>12650.8737</c:v>
                </c:pt>
                <c:pt idx="2">
                  <c:v>25461.716699999997</c:v>
                </c:pt>
                <c:pt idx="3">
                  <c:v>42758.563500000004</c:v>
                </c:pt>
                <c:pt idx="4">
                  <c:v>64656.68759999999</c:v>
                </c:pt>
                <c:pt idx="5">
                  <c:v>91297.383899999986</c:v>
                </c:pt>
                <c:pt idx="6">
                  <c:v>122840.538</c:v>
                </c:pt>
                <c:pt idx="7">
                  <c:v>159431.14619999999</c:v>
                </c:pt>
                <c:pt idx="8">
                  <c:v>201243.95549999998</c:v>
                </c:pt>
                <c:pt idx="9">
                  <c:v>248438.82359999997</c:v>
                </c:pt>
                <c:pt idx="10">
                  <c:v>301190.49749999994</c:v>
                </c:pt>
                <c:pt idx="11">
                  <c:v>359684.85629999998</c:v>
                </c:pt>
                <c:pt idx="12">
                  <c:v>424092.91769999999</c:v>
                </c:pt>
                <c:pt idx="13">
                  <c:v>494585.69939999998</c:v>
                </c:pt>
                <c:pt idx="14">
                  <c:v>571330.48979999986</c:v>
                </c:pt>
                <c:pt idx="15">
                  <c:v>654509.46659999993</c:v>
                </c:pt>
                <c:pt idx="16">
                  <c:v>744245.30609999993</c:v>
                </c:pt>
                <c:pt idx="17">
                  <c:v>840746.20739999996</c:v>
                </c:pt>
                <c:pt idx="18">
                  <c:v>944172.02819999994</c:v>
                </c:pt>
                <c:pt idx="19">
                  <c:v>1054641.7433999998</c:v>
                </c:pt>
                <c:pt idx="20">
                  <c:v>1172326.3706999999</c:v>
                </c:pt>
                <c:pt idx="21">
                  <c:v>1297348.5863999999</c:v>
                </c:pt>
                <c:pt idx="22">
                  <c:v>1429838.5253999999</c:v>
                </c:pt>
                <c:pt idx="23">
                  <c:v>1569926.3226000001</c:v>
                </c:pt>
                <c:pt idx="24">
                  <c:v>1717727.2235999999</c:v>
                </c:pt>
                <c:pt idx="25">
                  <c:v>1873345.3418999999</c:v>
                </c:pt>
                <c:pt idx="26">
                  <c:v>2036892.2216999996</c:v>
                </c:pt>
                <c:pt idx="27">
                  <c:v>2208449.6565</c:v>
                </c:pt>
                <c:pt idx="28">
                  <c:v>2388132.9198000003</c:v>
                </c:pt>
                <c:pt idx="29">
                  <c:v>2575997.7836999996</c:v>
                </c:pt>
                <c:pt idx="30">
                  <c:v>2772148.3616999998</c:v>
                </c:pt>
                <c:pt idx="31">
                  <c:v>2976603.2445</c:v>
                </c:pt>
                <c:pt idx="32">
                  <c:v>3189481.4348999998</c:v>
                </c:pt>
                <c:pt idx="33">
                  <c:v>3410794.0928999996</c:v>
                </c:pt>
                <c:pt idx="34">
                  <c:v>3640593.2891999995</c:v>
                </c:pt>
                <c:pt idx="35">
                  <c:v>3878957.1158999996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CD5-C647-ADCB-3788C9A73E58}"/>
            </c:ext>
          </c:extLst>
        </c:ser>
        <c:ser>
          <c:idx val="1"/>
          <c:order val="1"/>
          <c:tx>
            <c:strRef>
              <c:f>Dashboard!$A$7</c:f>
              <c:strCache>
                <c:ptCount val="1"/>
                <c:pt idx="0">
                  <c:v>ARR ($)</c:v>
                </c:pt>
              </c:strCache>
            </c:strRef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Dashboard!$B$7:$AK$7</c:f>
              <c:numCache>
                <c:formatCode>\$#,##0</c:formatCode>
                <c:ptCount val="36"/>
                <c:pt idx="0">
                  <c:v>50216.540399999998</c:v>
                </c:pt>
                <c:pt idx="1">
                  <c:v>151810.48440000002</c:v>
                </c:pt>
                <c:pt idx="2">
                  <c:v>305540.6004</c:v>
                </c:pt>
                <c:pt idx="3">
                  <c:v>513102.76200000005</c:v>
                </c:pt>
                <c:pt idx="4">
                  <c:v>775880.25119999982</c:v>
                </c:pt>
                <c:pt idx="5">
                  <c:v>1095568.6067999997</c:v>
                </c:pt>
                <c:pt idx="6">
                  <c:v>1474086.456</c:v>
                </c:pt>
                <c:pt idx="7">
                  <c:v>1913173.7544</c:v>
                </c:pt>
                <c:pt idx="8">
                  <c:v>2414927.466</c:v>
                </c:pt>
                <c:pt idx="9">
                  <c:v>2981265.8831999996</c:v>
                </c:pt>
                <c:pt idx="10">
                  <c:v>3614285.9699999993</c:v>
                </c:pt>
                <c:pt idx="11">
                  <c:v>4316218.2755999994</c:v>
                </c:pt>
                <c:pt idx="12">
                  <c:v>5089115.0123999994</c:v>
                </c:pt>
                <c:pt idx="13">
                  <c:v>5935028.3927999996</c:v>
                </c:pt>
                <c:pt idx="14">
                  <c:v>6855965.8775999984</c:v>
                </c:pt>
                <c:pt idx="15">
                  <c:v>7854113.5991999991</c:v>
                </c:pt>
                <c:pt idx="16">
                  <c:v>8930943.6732000001</c:v>
                </c:pt>
                <c:pt idx="17">
                  <c:v>10088954.4888</c:v>
                </c:pt>
                <c:pt idx="18">
                  <c:v>11330064.338399999</c:v>
                </c:pt>
                <c:pt idx="19">
                  <c:v>12655700.920799997</c:v>
                </c:pt>
                <c:pt idx="20">
                  <c:v>14067916.448399998</c:v>
                </c:pt>
                <c:pt idx="21">
                  <c:v>15568183.036799999</c:v>
                </c:pt>
                <c:pt idx="22">
                  <c:v>17158062.3048</c:v>
                </c:pt>
                <c:pt idx="23">
                  <c:v>18839115.871200003</c:v>
                </c:pt>
                <c:pt idx="24">
                  <c:v>20612726.683199998</c:v>
                </c:pt>
                <c:pt idx="25">
                  <c:v>22480144.102799997</c:v>
                </c:pt>
                <c:pt idx="26">
                  <c:v>24442706.660399996</c:v>
                </c:pt>
                <c:pt idx="27">
                  <c:v>26501395.877999999</c:v>
                </c:pt>
                <c:pt idx="28">
                  <c:v>28657595.037600003</c:v>
                </c:pt>
                <c:pt idx="29">
                  <c:v>30911973.404399995</c:v>
                </c:pt>
                <c:pt idx="30">
                  <c:v>33265780.340399995</c:v>
                </c:pt>
                <c:pt idx="31">
                  <c:v>35719238.934</c:v>
                </c:pt>
                <c:pt idx="32">
                  <c:v>38273777.218799993</c:v>
                </c:pt>
                <c:pt idx="33">
                  <c:v>40929529.114799991</c:v>
                </c:pt>
                <c:pt idx="34">
                  <c:v>43687119.470399991</c:v>
                </c:pt>
                <c:pt idx="35">
                  <c:v>46547485.390799999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CD5-C647-ADCB-3788C9A73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Dollars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Cash Position &amp; Operating Profit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Dashboard!$A$8</c:f>
              <c:strCache>
                <c:ptCount val="1"/>
                <c:pt idx="0">
                  <c:v>Cash ($)</c:v>
                </c:pt>
              </c:strCache>
            </c:strRef>
          </c:tx>
          <c:spPr>
            <a:ln>
              <a:solidFill>
                <a:srgbClr val="3B82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Dashboard!$B$8:$AK$8</c:f>
              <c:numCache>
                <c:formatCode>\$#,##0</c:formatCode>
                <c:ptCount val="36"/>
                <c:pt idx="0">
                  <c:v>4865152.3416999998</c:v>
                </c:pt>
                <c:pt idx="1">
                  <c:v>4735295.2453999994</c:v>
                </c:pt>
                <c:pt idx="2">
                  <c:v>4612453.8829249991</c:v>
                </c:pt>
                <c:pt idx="3">
                  <c:v>4497185.8955499995</c:v>
                </c:pt>
                <c:pt idx="4">
                  <c:v>4391955.1312499996</c:v>
                </c:pt>
                <c:pt idx="5">
                  <c:v>4299310.8991749994</c:v>
                </c:pt>
                <c:pt idx="6">
                  <c:v>4184400.6026749993</c:v>
                </c:pt>
                <c:pt idx="7">
                  <c:v>4087457.2623249991</c:v>
                </c:pt>
                <c:pt idx="8">
                  <c:v>4011320.1589499991</c:v>
                </c:pt>
                <c:pt idx="9">
                  <c:v>3958922.5366499992</c:v>
                </c:pt>
                <c:pt idx="10">
                  <c:v>23933304.979774997</c:v>
                </c:pt>
                <c:pt idx="11">
                  <c:v>23937618.571999997</c:v>
                </c:pt>
                <c:pt idx="12">
                  <c:v>23975118.170274995</c:v>
                </c:pt>
                <c:pt idx="13">
                  <c:v>24049162.764824994</c:v>
                </c:pt>
                <c:pt idx="14">
                  <c:v>24163211.192174993</c:v>
                </c:pt>
                <c:pt idx="15">
                  <c:v>24320835.692124993</c:v>
                </c:pt>
                <c:pt idx="16">
                  <c:v>24525681.701699991</c:v>
                </c:pt>
                <c:pt idx="17">
                  <c:v>24781524.417249992</c:v>
                </c:pt>
                <c:pt idx="18">
                  <c:v>25017236.958399992</c:v>
                </c:pt>
                <c:pt idx="19">
                  <c:v>25311767.285949994</c:v>
                </c:pt>
                <c:pt idx="20">
                  <c:v>25669170.553974994</c:v>
                </c:pt>
                <c:pt idx="21">
                  <c:v>26093576.373774994</c:v>
                </c:pt>
                <c:pt idx="22">
                  <c:v>26589198.827824995</c:v>
                </c:pt>
                <c:pt idx="23">
                  <c:v>27160336.649774995</c:v>
                </c:pt>
                <c:pt idx="24">
                  <c:v>27811360.207474995</c:v>
                </c:pt>
                <c:pt idx="25">
                  <c:v>28546709.243899994</c:v>
                </c:pt>
                <c:pt idx="26">
                  <c:v>29370896.600174993</c:v>
                </c:pt>
                <c:pt idx="27">
                  <c:v>30288487.752549995</c:v>
                </c:pt>
                <c:pt idx="28">
                  <c:v>31304126.282399993</c:v>
                </c:pt>
                <c:pt idx="29">
                  <c:v>32422493.310174994</c:v>
                </c:pt>
                <c:pt idx="30">
                  <c:v>33648339.511449993</c:v>
                </c:pt>
                <c:pt idx="31">
                  <c:v>34986429.274824992</c:v>
                </c:pt>
                <c:pt idx="32">
                  <c:v>36441609.740999989</c:v>
                </c:pt>
                <c:pt idx="33">
                  <c:v>38018738.220674992</c:v>
                </c:pt>
                <c:pt idx="34">
                  <c:v>39722710.487574995</c:v>
                </c:pt>
                <c:pt idx="35">
                  <c:v>41558476.59449999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C4-A648-BD31-329140FE561A}"/>
            </c:ext>
          </c:extLst>
        </c:ser>
        <c:ser>
          <c:idx val="1"/>
          <c:order val="1"/>
          <c:tx>
            <c:strRef>
              <c:f>Dashboard!$A$9</c:f>
              <c:strCache>
                <c:ptCount val="1"/>
                <c:pt idx="0">
                  <c:v>Op Profit ($)</c:v>
                </c:pt>
              </c:strCache>
            </c:strRef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Dashboard!$B$9:$AK$9</c:f>
              <c:numCache>
                <c:formatCode>\$#,##0;\(\$#,##0\);"-"</c:formatCode>
                <c:ptCount val="36"/>
                <c:pt idx="0">
                  <c:v>-134847.65830000001</c:v>
                </c:pt>
                <c:pt idx="1">
                  <c:v>-129857.0963</c:v>
                </c:pt>
                <c:pt idx="2">
                  <c:v>-122841.362475</c:v>
                </c:pt>
                <c:pt idx="3">
                  <c:v>-115267.98737499998</c:v>
                </c:pt>
                <c:pt idx="4">
                  <c:v>-105230.76430000002</c:v>
                </c:pt>
                <c:pt idx="5">
                  <c:v>-92644.232075000007</c:v>
                </c:pt>
                <c:pt idx="6">
                  <c:v>-114910.2965</c:v>
                </c:pt>
                <c:pt idx="7">
                  <c:v>-96943.340350000013</c:v>
                </c:pt>
                <c:pt idx="8">
                  <c:v>-76137.103375000006</c:v>
                </c:pt>
                <c:pt idx="9">
                  <c:v>-52397.622300000017</c:v>
                </c:pt>
                <c:pt idx="10">
                  <c:v>-25617.556875000009</c:v>
                </c:pt>
                <c:pt idx="11">
                  <c:v>4313.5922250000294</c:v>
                </c:pt>
                <c:pt idx="12">
                  <c:v>37499.598275000055</c:v>
                </c:pt>
                <c:pt idx="13">
                  <c:v>74044.59454999998</c:v>
                </c:pt>
                <c:pt idx="14">
                  <c:v>114048.4273499999</c:v>
                </c:pt>
                <c:pt idx="15">
                  <c:v>157624.49994999991</c:v>
                </c:pt>
                <c:pt idx="16">
                  <c:v>204846.00957499992</c:v>
                </c:pt>
                <c:pt idx="17">
                  <c:v>255842.71554999996</c:v>
                </c:pt>
                <c:pt idx="18">
                  <c:v>235712.54114999995</c:v>
                </c:pt>
                <c:pt idx="19">
                  <c:v>294530.32754999993</c:v>
                </c:pt>
                <c:pt idx="20">
                  <c:v>357403.26802499988</c:v>
                </c:pt>
                <c:pt idx="21">
                  <c:v>424405.81979999994</c:v>
                </c:pt>
                <c:pt idx="22">
                  <c:v>495622.45404999994</c:v>
                </c:pt>
                <c:pt idx="23">
                  <c:v>571137.82195000001</c:v>
                </c:pt>
                <c:pt idx="24">
                  <c:v>651023.5577</c:v>
                </c:pt>
                <c:pt idx="25">
                  <c:v>735349.03642499982</c:v>
                </c:pt>
                <c:pt idx="26">
                  <c:v>824187.35627499968</c:v>
                </c:pt>
                <c:pt idx="27">
                  <c:v>917591.15237500006</c:v>
                </c:pt>
                <c:pt idx="28">
                  <c:v>1015638.5298500003</c:v>
                </c:pt>
                <c:pt idx="29">
                  <c:v>1118367.0277749996</c:v>
                </c:pt>
                <c:pt idx="30">
                  <c:v>1225846.2012749999</c:v>
                </c:pt>
                <c:pt idx="31">
                  <c:v>1338089.7633750001</c:v>
                </c:pt>
                <c:pt idx="32">
                  <c:v>1455180.4661749997</c:v>
                </c:pt>
                <c:pt idx="33">
                  <c:v>1577128.4796749996</c:v>
                </c:pt>
                <c:pt idx="34">
                  <c:v>1703972.2668999997</c:v>
                </c:pt>
                <c:pt idx="35">
                  <c:v>1835766.1069249995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C4-A648-BD31-329140FE5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Dollars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27</xdr:row>
      <xdr:rowOff>0</xdr:rowOff>
    </xdr:from>
    <xdr:ext cx="1008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1008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0FF"/>
  </sheetPr>
  <dimension ref="A1:E74"/>
  <sheetViews>
    <sheetView topLeftCell="A47" zoomScale="300" zoomScaleNormal="300" workbookViewId="0">
      <selection activeCell="B70" sqref="B70"/>
    </sheetView>
  </sheetViews>
  <sheetFormatPr baseColWidth="10" defaultColWidth="8.83203125" defaultRowHeight="15" x14ac:dyDescent="0.2"/>
  <cols>
    <col min="1" max="1" width="35" customWidth="1"/>
    <col min="2" max="2" width="18" customWidth="1"/>
    <col min="3" max="3" width="14" customWidth="1"/>
    <col min="4" max="4" width="45" customWidth="1"/>
  </cols>
  <sheetData>
    <row r="1" spans="1:5" ht="18" x14ac:dyDescent="0.2">
      <c r="A1" s="1" t="s">
        <v>0</v>
      </c>
    </row>
    <row r="2" spans="1:5" x14ac:dyDescent="0.2">
      <c r="A2" s="2" t="s">
        <v>1</v>
      </c>
    </row>
    <row r="4" spans="1:5" x14ac:dyDescent="0.2">
      <c r="A4" s="3" t="s">
        <v>2</v>
      </c>
      <c r="B4" s="4"/>
      <c r="C4" s="4"/>
      <c r="D4" s="4"/>
      <c r="E4" s="4"/>
    </row>
    <row r="5" spans="1:5" x14ac:dyDescent="0.2">
      <c r="A5" s="5" t="s">
        <v>3</v>
      </c>
      <c r="B5" s="5" t="s">
        <v>4</v>
      </c>
      <c r="C5" s="5" t="s">
        <v>5</v>
      </c>
      <c r="D5" s="5" t="s">
        <v>6</v>
      </c>
    </row>
    <row r="6" spans="1:5" x14ac:dyDescent="0.2">
      <c r="A6" s="6" t="s">
        <v>7</v>
      </c>
      <c r="B6" s="7">
        <v>0</v>
      </c>
      <c r="C6" s="7">
        <v>0</v>
      </c>
      <c r="D6" s="8" t="s">
        <v>8</v>
      </c>
    </row>
    <row r="7" spans="1:5" x14ac:dyDescent="0.2">
      <c r="A7" s="6" t="s">
        <v>9</v>
      </c>
      <c r="B7" s="9">
        <v>7.99</v>
      </c>
      <c r="C7" s="10">
        <f>B7*12*(1-B27)</f>
        <v>76.703999999999994</v>
      </c>
      <c r="D7" s="8" t="s">
        <v>10</v>
      </c>
    </row>
    <row r="8" spans="1:5" x14ac:dyDescent="0.2">
      <c r="A8" s="6" t="s">
        <v>11</v>
      </c>
      <c r="B8" s="9">
        <v>19.989999999999998</v>
      </c>
      <c r="C8" s="10">
        <f>B8*12*(1-B27)</f>
        <v>191.904</v>
      </c>
      <c r="D8" s="8" t="s">
        <v>12</v>
      </c>
    </row>
    <row r="10" spans="1:5" x14ac:dyDescent="0.2">
      <c r="A10" s="3" t="s">
        <v>13</v>
      </c>
      <c r="B10" s="4"/>
      <c r="C10" s="4"/>
      <c r="D10" s="4"/>
      <c r="E10" s="4"/>
    </row>
    <row r="11" spans="1:5" x14ac:dyDescent="0.2">
      <c r="A11" s="6" t="s">
        <v>14</v>
      </c>
      <c r="B11" s="11">
        <v>10000</v>
      </c>
      <c r="C11" s="12" t="s">
        <v>15</v>
      </c>
    </row>
    <row r="12" spans="1:5" x14ac:dyDescent="0.2">
      <c r="A12" s="6" t="s">
        <v>16</v>
      </c>
      <c r="B12" s="13">
        <v>0.1</v>
      </c>
      <c r="C12" s="12" t="s">
        <v>17</v>
      </c>
    </row>
    <row r="13" spans="1:5" x14ac:dyDescent="0.2">
      <c r="A13" s="6" t="s">
        <v>18</v>
      </c>
      <c r="B13" s="11">
        <v>500</v>
      </c>
      <c r="C13" s="12" t="s">
        <v>19</v>
      </c>
    </row>
    <row r="14" spans="1:5" x14ac:dyDescent="0.2">
      <c r="A14" s="6" t="s">
        <v>20</v>
      </c>
      <c r="B14" s="13">
        <v>0.05</v>
      </c>
      <c r="C14" s="12" t="s">
        <v>21</v>
      </c>
    </row>
    <row r="15" spans="1:5" x14ac:dyDescent="0.2">
      <c r="A15" s="6" t="s">
        <v>22</v>
      </c>
      <c r="B15" s="14">
        <v>0.08</v>
      </c>
      <c r="C15" s="12" t="s">
        <v>23</v>
      </c>
    </row>
    <row r="16" spans="1:5" x14ac:dyDescent="0.2">
      <c r="A16" s="6" t="s">
        <v>24</v>
      </c>
      <c r="B16" s="15">
        <v>0.95499999999999996</v>
      </c>
      <c r="C16" s="12" t="s">
        <v>25</v>
      </c>
    </row>
    <row r="17" spans="1:5" x14ac:dyDescent="0.2">
      <c r="A17" s="3" t="s">
        <v>26</v>
      </c>
      <c r="B17" s="4"/>
      <c r="C17" s="4"/>
      <c r="D17" s="4"/>
      <c r="E17" s="4"/>
    </row>
    <row r="18" spans="1:5" x14ac:dyDescent="0.2">
      <c r="A18" s="6" t="s">
        <v>27</v>
      </c>
      <c r="B18" s="14">
        <v>3.5000000000000003E-2</v>
      </c>
      <c r="C18" s="12" t="s">
        <v>28</v>
      </c>
    </row>
    <row r="19" spans="1:5" x14ac:dyDescent="0.2">
      <c r="A19" s="6" t="s">
        <v>29</v>
      </c>
      <c r="B19" s="14">
        <v>8.0000000000000002E-3</v>
      </c>
      <c r="C19" s="12" t="s">
        <v>30</v>
      </c>
    </row>
    <row r="20" spans="1:5" x14ac:dyDescent="0.2">
      <c r="A20" s="6" t="s">
        <v>31</v>
      </c>
      <c r="B20" s="14">
        <v>0.02</v>
      </c>
      <c r="C20" s="12" t="s">
        <v>32</v>
      </c>
    </row>
    <row r="21" spans="1:5" x14ac:dyDescent="0.2">
      <c r="A21" s="6" t="s">
        <v>33</v>
      </c>
      <c r="B21" s="13">
        <v>0.08</v>
      </c>
      <c r="C21" s="12" t="s">
        <v>34</v>
      </c>
    </row>
    <row r="22" spans="1:5" x14ac:dyDescent="0.2">
      <c r="A22" s="6" t="s">
        <v>35</v>
      </c>
      <c r="B22" s="13">
        <v>0.05</v>
      </c>
      <c r="C22" s="12" t="s">
        <v>36</v>
      </c>
    </row>
    <row r="23" spans="1:5" x14ac:dyDescent="0.2">
      <c r="A23" s="6" t="s">
        <v>37</v>
      </c>
      <c r="B23" s="13">
        <v>0.03</v>
      </c>
      <c r="C23" s="12" t="s">
        <v>38</v>
      </c>
    </row>
    <row r="25" spans="1:5" x14ac:dyDescent="0.2">
      <c r="A25" s="3" t="s">
        <v>39</v>
      </c>
      <c r="B25" s="4"/>
      <c r="C25" s="4"/>
      <c r="D25" s="4"/>
      <c r="E25" s="4"/>
    </row>
    <row r="26" spans="1:5" x14ac:dyDescent="0.2">
      <c r="A26" s="6" t="s">
        <v>40</v>
      </c>
      <c r="B26" s="13">
        <v>0.35</v>
      </c>
      <c r="C26" s="12" t="s">
        <v>41</v>
      </c>
    </row>
    <row r="27" spans="1:5" x14ac:dyDescent="0.2">
      <c r="A27" s="6" t="s">
        <v>42</v>
      </c>
      <c r="B27" s="13">
        <v>0.2</v>
      </c>
      <c r="C27" s="12" t="s">
        <v>43</v>
      </c>
    </row>
    <row r="28" spans="1:5" x14ac:dyDescent="0.2">
      <c r="A28" s="6" t="s">
        <v>44</v>
      </c>
      <c r="B28" s="10">
        <f>B7*(1-B26) + (B7*(1-B27))*B26</f>
        <v>7.4306999999999999</v>
      </c>
      <c r="C28" s="16" t="s">
        <v>45</v>
      </c>
    </row>
    <row r="29" spans="1:5" x14ac:dyDescent="0.2">
      <c r="A29" s="6" t="s">
        <v>46</v>
      </c>
      <c r="B29" s="10">
        <f>B8*(1-B26) + (B8*(1-B27))*B26</f>
        <v>18.590699999999998</v>
      </c>
    </row>
    <row r="31" spans="1:5" x14ac:dyDescent="0.2">
      <c r="A31" s="3" t="s">
        <v>47</v>
      </c>
      <c r="B31" s="4"/>
      <c r="C31" s="4"/>
      <c r="D31" s="4"/>
      <c r="E31" s="4"/>
    </row>
    <row r="32" spans="1:5" x14ac:dyDescent="0.2">
      <c r="A32" s="6" t="s">
        <v>48</v>
      </c>
      <c r="B32" s="9">
        <v>2</v>
      </c>
      <c r="C32" s="12" t="s">
        <v>49</v>
      </c>
    </row>
    <row r="33" spans="1:5" x14ac:dyDescent="0.2">
      <c r="A33" s="6" t="s">
        <v>50</v>
      </c>
      <c r="B33" s="9">
        <v>0.15</v>
      </c>
      <c r="C33" s="12" t="s">
        <v>51</v>
      </c>
    </row>
    <row r="34" spans="1:5" x14ac:dyDescent="0.2">
      <c r="A34" s="6" t="s">
        <v>52</v>
      </c>
      <c r="B34" s="9">
        <v>3.5</v>
      </c>
      <c r="C34" s="12" t="s">
        <v>53</v>
      </c>
    </row>
    <row r="35" spans="1:5" x14ac:dyDescent="0.2">
      <c r="A35" s="6" t="s">
        <v>54</v>
      </c>
      <c r="B35" s="9">
        <v>28</v>
      </c>
      <c r="C35" s="12" t="s">
        <v>55</v>
      </c>
    </row>
    <row r="36" spans="1:5" x14ac:dyDescent="0.2">
      <c r="A36" s="6" t="s">
        <v>56</v>
      </c>
      <c r="B36" s="10">
        <f>(B34*0.7 + B35*0.3)</f>
        <v>10.85</v>
      </c>
      <c r="C36" s="16" t="s">
        <v>57</v>
      </c>
    </row>
    <row r="38" spans="1:5" x14ac:dyDescent="0.2">
      <c r="A38" s="3" t="s">
        <v>58</v>
      </c>
      <c r="B38" s="4"/>
      <c r="C38" s="4"/>
      <c r="D38" s="4"/>
      <c r="E38" s="4"/>
    </row>
    <row r="39" spans="1:5" x14ac:dyDescent="0.2">
      <c r="A39" s="5" t="s">
        <v>59</v>
      </c>
      <c r="B39" s="5" t="s">
        <v>60</v>
      </c>
      <c r="C39" s="5" t="s">
        <v>61</v>
      </c>
      <c r="D39" s="5" t="s">
        <v>62</v>
      </c>
    </row>
    <row r="40" spans="1:5" x14ac:dyDescent="0.2">
      <c r="A40" s="6" t="s">
        <v>63</v>
      </c>
      <c r="B40" s="11">
        <v>4</v>
      </c>
      <c r="C40" s="11">
        <v>6</v>
      </c>
      <c r="D40" s="11">
        <v>6</v>
      </c>
    </row>
    <row r="41" spans="1:5" x14ac:dyDescent="0.2">
      <c r="A41" s="6" t="s">
        <v>64</v>
      </c>
      <c r="B41" s="11">
        <v>1</v>
      </c>
      <c r="C41" s="11">
        <v>1</v>
      </c>
      <c r="D41" s="11">
        <v>2</v>
      </c>
    </row>
    <row r="42" spans="1:5" x14ac:dyDescent="0.2">
      <c r="A42" s="6" t="s">
        <v>65</v>
      </c>
      <c r="B42" s="11">
        <v>2</v>
      </c>
      <c r="C42" s="11">
        <v>2</v>
      </c>
      <c r="D42" s="11">
        <v>3</v>
      </c>
    </row>
    <row r="43" spans="1:5" x14ac:dyDescent="0.2">
      <c r="A43" s="6" t="s">
        <v>66</v>
      </c>
      <c r="B43" s="11">
        <v>1</v>
      </c>
      <c r="C43" s="11">
        <v>1</v>
      </c>
      <c r="D43" s="11">
        <v>2</v>
      </c>
    </row>
    <row r="44" spans="1:5" x14ac:dyDescent="0.2">
      <c r="A44" s="6" t="s">
        <v>67</v>
      </c>
      <c r="B44" s="11">
        <v>0</v>
      </c>
      <c r="C44" s="11">
        <v>0</v>
      </c>
      <c r="D44" s="11">
        <v>1</v>
      </c>
    </row>
    <row r="45" spans="1:5" x14ac:dyDescent="0.2">
      <c r="A45" s="6" t="s">
        <v>68</v>
      </c>
      <c r="B45" s="11">
        <v>1</v>
      </c>
      <c r="C45" s="11">
        <v>1</v>
      </c>
      <c r="D45" s="11">
        <v>2</v>
      </c>
    </row>
    <row r="46" spans="1:5" x14ac:dyDescent="0.2">
      <c r="A46" s="6" t="s">
        <v>69</v>
      </c>
      <c r="B46" s="11">
        <v>0</v>
      </c>
      <c r="C46" s="11">
        <v>1</v>
      </c>
      <c r="D46" s="11">
        <v>2</v>
      </c>
    </row>
    <row r="47" spans="1:5" x14ac:dyDescent="0.2">
      <c r="A47" s="17" t="s">
        <v>70</v>
      </c>
      <c r="B47" s="18">
        <f>SUM(B40:B46)</f>
        <v>9</v>
      </c>
      <c r="C47" s="18">
        <f>SUM(C40:C46)</f>
        <v>12</v>
      </c>
      <c r="D47" s="18">
        <f>SUM(D40:D46)</f>
        <v>18</v>
      </c>
    </row>
    <row r="48" spans="1:5" x14ac:dyDescent="0.2">
      <c r="A48" s="6" t="s">
        <v>71</v>
      </c>
      <c r="B48" s="7">
        <v>150000</v>
      </c>
      <c r="C48" s="12" t="s">
        <v>72</v>
      </c>
    </row>
    <row r="50" spans="1:5" x14ac:dyDescent="0.2">
      <c r="A50" s="3" t="s">
        <v>73</v>
      </c>
      <c r="B50" s="4"/>
      <c r="C50" s="4"/>
      <c r="D50" s="4"/>
      <c r="E50" s="4"/>
    </row>
    <row r="51" spans="1:5" x14ac:dyDescent="0.2">
      <c r="A51" s="6" t="s">
        <v>74</v>
      </c>
      <c r="B51" s="7">
        <v>5000000</v>
      </c>
      <c r="C51" s="12" t="s">
        <v>75</v>
      </c>
    </row>
    <row r="52" spans="1:5" x14ac:dyDescent="0.2">
      <c r="A52" s="6" t="s">
        <v>76</v>
      </c>
      <c r="B52" s="7">
        <v>16000000</v>
      </c>
    </row>
    <row r="53" spans="1:5" x14ac:dyDescent="0.2">
      <c r="A53" s="6" t="s">
        <v>77</v>
      </c>
      <c r="B53" s="7">
        <v>20000000</v>
      </c>
      <c r="C53" s="12" t="s">
        <v>78</v>
      </c>
    </row>
    <row r="54" spans="1:5" x14ac:dyDescent="0.2">
      <c r="A54" s="6" t="s">
        <v>79</v>
      </c>
      <c r="B54" s="7">
        <v>80000000</v>
      </c>
    </row>
    <row r="55" spans="1:5" x14ac:dyDescent="0.2">
      <c r="A55" s="6" t="s">
        <v>80</v>
      </c>
      <c r="B55" s="7">
        <v>300000</v>
      </c>
      <c r="C55" s="12" t="s">
        <v>81</v>
      </c>
    </row>
    <row r="57" spans="1:5" x14ac:dyDescent="0.2">
      <c r="A57" s="3" t="s">
        <v>82</v>
      </c>
      <c r="B57" s="4"/>
      <c r="C57" s="4"/>
      <c r="D57" s="4"/>
      <c r="E57" s="4"/>
    </row>
    <row r="58" spans="1:5" x14ac:dyDescent="0.2">
      <c r="A58" s="6" t="s">
        <v>83</v>
      </c>
      <c r="B58" s="7">
        <v>10000</v>
      </c>
      <c r="C58" s="12" t="s">
        <v>84</v>
      </c>
    </row>
    <row r="59" spans="1:5" x14ac:dyDescent="0.2">
      <c r="A59" s="6" t="s">
        <v>85</v>
      </c>
      <c r="B59" s="7">
        <v>5000</v>
      </c>
      <c r="C59" s="12" t="s">
        <v>86</v>
      </c>
    </row>
    <row r="60" spans="1:5" x14ac:dyDescent="0.2">
      <c r="A60" s="6" t="s">
        <v>87</v>
      </c>
      <c r="B60" s="7">
        <v>4000</v>
      </c>
      <c r="C60" s="12" t="s">
        <v>88</v>
      </c>
    </row>
    <row r="61" spans="1:5" x14ac:dyDescent="0.2">
      <c r="A61" s="6" t="s">
        <v>89</v>
      </c>
      <c r="B61" s="13">
        <v>0.25</v>
      </c>
      <c r="C61" s="12" t="s">
        <v>90</v>
      </c>
    </row>
    <row r="62" spans="1:5" x14ac:dyDescent="0.2">
      <c r="A62" s="6" t="s">
        <v>91</v>
      </c>
      <c r="B62" s="7">
        <v>0</v>
      </c>
      <c r="C62" s="12" t="s">
        <v>92</v>
      </c>
    </row>
    <row r="64" spans="1:5" x14ac:dyDescent="0.2">
      <c r="A64" s="39" t="s">
        <v>93</v>
      </c>
    </row>
    <row r="65" spans="1:3" x14ac:dyDescent="0.2">
      <c r="A65" t="s">
        <v>94</v>
      </c>
      <c r="B65">
        <v>0.02</v>
      </c>
      <c r="C65" t="s">
        <v>95</v>
      </c>
    </row>
    <row r="66" spans="1:3" x14ac:dyDescent="0.2">
      <c r="A66" t="s">
        <v>96</v>
      </c>
      <c r="B66">
        <v>0.01</v>
      </c>
      <c r="C66" t="s">
        <v>97</v>
      </c>
    </row>
    <row r="68" spans="1:3" x14ac:dyDescent="0.2">
      <c r="A68" s="39" t="s">
        <v>98</v>
      </c>
    </row>
    <row r="69" spans="1:3" x14ac:dyDescent="0.2">
      <c r="A69" t="s">
        <v>99</v>
      </c>
      <c r="B69">
        <v>450</v>
      </c>
      <c r="C69" t="s">
        <v>100</v>
      </c>
    </row>
    <row r="70" spans="1:3" x14ac:dyDescent="0.2">
      <c r="A70" t="s">
        <v>101</v>
      </c>
      <c r="B70">
        <v>800</v>
      </c>
      <c r="C70" t="s">
        <v>102</v>
      </c>
    </row>
    <row r="71" spans="1:3" x14ac:dyDescent="0.2">
      <c r="A71" t="s">
        <v>103</v>
      </c>
      <c r="B71">
        <v>95.88</v>
      </c>
      <c r="C71" t="s">
        <v>104</v>
      </c>
    </row>
    <row r="72" spans="1:3" x14ac:dyDescent="0.2">
      <c r="A72" t="s">
        <v>105</v>
      </c>
      <c r="B72">
        <v>239.88</v>
      </c>
      <c r="C72" t="s">
        <v>106</v>
      </c>
    </row>
    <row r="73" spans="1:3" x14ac:dyDescent="0.2">
      <c r="A73" t="s">
        <v>107</v>
      </c>
      <c r="B73">
        <f>B69/B71</f>
        <v>4.693366708385482</v>
      </c>
      <c r="C73" t="s">
        <v>108</v>
      </c>
    </row>
    <row r="74" spans="1:3" x14ac:dyDescent="0.2">
      <c r="A74" t="s">
        <v>109</v>
      </c>
      <c r="B74">
        <f>B70/B72</f>
        <v>3.3350008337502084</v>
      </c>
      <c r="C74" t="s">
        <v>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4B8A6"/>
  </sheetPr>
  <dimension ref="A1:AL30"/>
  <sheetViews>
    <sheetView workbookViewId="0">
      <pane xSplit="2" ySplit="4" topLeftCell="C5" activePane="bottomRight" state="frozen"/>
      <selection pane="topRight"/>
      <selection pane="bottomLeft"/>
      <selection pane="bottomRight" activeCell="D33" sqref="D33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3" customWidth="1"/>
  </cols>
  <sheetData>
    <row r="1" spans="1:38" ht="18" x14ac:dyDescent="0.2">
      <c r="A1" s="1" t="s">
        <v>110</v>
      </c>
    </row>
    <row r="2" spans="1:38" x14ac:dyDescent="0.2">
      <c r="A2" s="2" t="s">
        <v>111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150</v>
      </c>
      <c r="B5" s="4"/>
      <c r="C5" s="4"/>
      <c r="D5" s="4"/>
      <c r="E5" s="4"/>
    </row>
    <row r="6" spans="1:38" x14ac:dyDescent="0.2">
      <c r="A6" s="6" t="s">
        <v>151</v>
      </c>
      <c r="B6" s="6" t="s">
        <v>152</v>
      </c>
      <c r="C6" s="21">
        <f>Assumptions!B11</f>
        <v>10000</v>
      </c>
      <c r="D6" s="21">
        <f>ROUND(C6*(1+Assumptions!$B$12*Assumptions!$B$16^(COLUMN()-3)),0)</f>
        <v>10955</v>
      </c>
      <c r="E6" s="21">
        <f>ROUND(D6*(1+Assumptions!$B$12*Assumptions!$B$16^(COLUMN()-3)),0)</f>
        <v>11954</v>
      </c>
      <c r="F6" s="21">
        <f>ROUND(E6*(1+Assumptions!$B$12*Assumptions!$B$16^(COLUMN()-3)),0)</f>
        <v>12995</v>
      </c>
      <c r="G6" s="21">
        <f>ROUND(F6*(1+Assumptions!$B$12*Assumptions!$B$16^(COLUMN()-3)),0)</f>
        <v>14076</v>
      </c>
      <c r="H6" s="21">
        <f>ROUND(G6*(1+Assumptions!$B$12*Assumptions!$B$16^(COLUMN()-3)),0)</f>
        <v>15194</v>
      </c>
      <c r="I6" s="21">
        <f>ROUND(H6*(1+Assumptions!$B$12*Assumptions!$B$16^(COLUMN()-3)),0)</f>
        <v>16347</v>
      </c>
      <c r="J6" s="21">
        <f>ROUND(I6*(1+Assumptions!$B$12*Assumptions!$B$16^(COLUMN()-3)),0)</f>
        <v>17531</v>
      </c>
      <c r="K6" s="21">
        <f>ROUND(J6*(1+Assumptions!$B$12*Assumptions!$B$16^(COLUMN()-3)),0)</f>
        <v>18744</v>
      </c>
      <c r="L6" s="21">
        <f>ROUND(K6*(1+Assumptions!$B$12*Assumptions!$B$16^(COLUMN()-3)),0)</f>
        <v>19982</v>
      </c>
      <c r="M6" s="21">
        <f>ROUND(L6*(1+Assumptions!$B$12*Assumptions!$B$16^(COLUMN()-3)),0)</f>
        <v>21243</v>
      </c>
      <c r="N6" s="21">
        <f>ROUND(M6*(1+Assumptions!$B$12*Assumptions!$B$16^(COLUMN()-3)),0)</f>
        <v>22523</v>
      </c>
      <c r="O6" s="21">
        <f>ROUND(N6*(1+Assumptions!$B$12*Assumptions!$B$16^(COLUMN()-3)),0)</f>
        <v>23819</v>
      </c>
      <c r="P6" s="21">
        <f>ROUND(O6*(1+Assumptions!$B$12*Assumptions!$B$16^(COLUMN()-3)),0)</f>
        <v>25128</v>
      </c>
      <c r="Q6" s="21">
        <f>ROUND(P6*(1+Assumptions!$B$12*Assumptions!$B$16^(COLUMN()-3)),0)</f>
        <v>26447</v>
      </c>
      <c r="R6" s="21">
        <f>ROUND(Q6*(1+Assumptions!$B$12*Assumptions!$B$16^(COLUMN()-3)),0)</f>
        <v>27773</v>
      </c>
      <c r="S6" s="21">
        <f>ROUND(R6*(1+Assumptions!$B$12*Assumptions!$B$16^(COLUMN()-3)),0)</f>
        <v>29102</v>
      </c>
      <c r="T6" s="21">
        <f>ROUND(S6*(1+Assumptions!$B$12*Assumptions!$B$16^(COLUMN()-3)),0)</f>
        <v>30432</v>
      </c>
      <c r="U6" s="21">
        <f>ROUND(T6*(1+Assumptions!$B$12*Assumptions!$B$16^(COLUMN()-3)),0)</f>
        <v>31761</v>
      </c>
      <c r="V6" s="21">
        <f>ROUND(U6*(1+Assumptions!$B$12*Assumptions!$B$16^(COLUMN()-3)),0)</f>
        <v>33085</v>
      </c>
      <c r="W6" s="21">
        <f>ROUND(V6*(1+Assumptions!$B$12*Assumptions!$B$16^(COLUMN()-3)),0)</f>
        <v>34402</v>
      </c>
      <c r="X6" s="21">
        <f>ROUND(W6*(1+Assumptions!$B$12*Assumptions!$B$16^(COLUMN()-3)),0)</f>
        <v>35710</v>
      </c>
      <c r="Y6" s="21">
        <f>ROUND(X6*(1+Assumptions!$B$12*Assumptions!$B$16^(COLUMN()-3)),0)</f>
        <v>37007</v>
      </c>
      <c r="Z6" s="21">
        <f>ROUND(Y6*(1+Assumptions!$B$12*Assumptions!$B$16^(COLUMN()-3)),0)</f>
        <v>38290</v>
      </c>
      <c r="AA6" s="21">
        <f>ROUND(Z6*(1+Assumptions!$B$12*Assumptions!$B$16^(COLUMN()-3)),0)</f>
        <v>39558</v>
      </c>
      <c r="AB6" s="21">
        <f>ROUND(AA6*(1+Assumptions!$B$12*Assumptions!$B$16^(COLUMN()-3)),0)</f>
        <v>40809</v>
      </c>
      <c r="AC6" s="21">
        <f>ROUND(AB6*(1+Assumptions!$B$12*Assumptions!$B$16^(COLUMN()-3)),0)</f>
        <v>42042</v>
      </c>
      <c r="AD6" s="21">
        <f>ROUND(AC6*(1+Assumptions!$B$12*Assumptions!$B$16^(COLUMN()-3)),0)</f>
        <v>43255</v>
      </c>
      <c r="AE6" s="21">
        <f>ROUND(AD6*(1+Assumptions!$B$12*Assumptions!$B$16^(COLUMN()-3)),0)</f>
        <v>44447</v>
      </c>
      <c r="AF6" s="21">
        <f>ROUND(AE6*(1+Assumptions!$B$12*Assumptions!$B$16^(COLUMN()-3)),0)</f>
        <v>45616</v>
      </c>
      <c r="AG6" s="21">
        <f>ROUND(AF6*(1+Assumptions!$B$12*Assumptions!$B$16^(COLUMN()-3)),0)</f>
        <v>46762</v>
      </c>
      <c r="AH6" s="21">
        <f>ROUND(AG6*(1+Assumptions!$B$12*Assumptions!$B$16^(COLUMN()-3)),0)</f>
        <v>47884</v>
      </c>
      <c r="AI6" s="21">
        <f>ROUND(AH6*(1+Assumptions!$B$12*Assumptions!$B$16^(COLUMN()-3)),0)</f>
        <v>48981</v>
      </c>
      <c r="AJ6" s="21">
        <f>ROUND(AI6*(1+Assumptions!$B$12*Assumptions!$B$16^(COLUMN()-3)),0)</f>
        <v>50053</v>
      </c>
      <c r="AK6" s="21">
        <f>ROUND(AJ6*(1+Assumptions!$B$12*Assumptions!$B$16^(COLUMN()-3)),0)</f>
        <v>51099</v>
      </c>
      <c r="AL6" s="21">
        <f>ROUND(AK6*(1+Assumptions!$B$12*Assumptions!$B$16^(COLUMN()-3)),0)</f>
        <v>52119</v>
      </c>
    </row>
    <row r="7" spans="1:38" x14ac:dyDescent="0.2">
      <c r="A7" s="6" t="s">
        <v>153</v>
      </c>
      <c r="B7" s="6" t="s">
        <v>152</v>
      </c>
      <c r="C7" s="21">
        <f>Assumptions!B13</f>
        <v>500</v>
      </c>
      <c r="D7" s="21">
        <f>ROUND(C7*(1+Assumptions!$B$14*Assumptions!$B$16^(COLUMN()-3)),0)</f>
        <v>524</v>
      </c>
      <c r="E7" s="21">
        <f>ROUND(D7*(1+Assumptions!$B$14*Assumptions!$B$16^(COLUMN()-3)),0)</f>
        <v>548</v>
      </c>
      <c r="F7" s="21">
        <f>ROUND(E7*(1+Assumptions!$B$14*Assumptions!$B$16^(COLUMN()-3)),0)</f>
        <v>572</v>
      </c>
      <c r="G7" s="21">
        <f>ROUND(F7*(1+Assumptions!$B$14*Assumptions!$B$16^(COLUMN()-3)),0)</f>
        <v>596</v>
      </c>
      <c r="H7" s="21">
        <f>ROUND(G7*(1+Assumptions!$B$14*Assumptions!$B$16^(COLUMN()-3)),0)</f>
        <v>620</v>
      </c>
      <c r="I7" s="21">
        <f>ROUND(H7*(1+Assumptions!$B$14*Assumptions!$B$16^(COLUMN()-3)),0)</f>
        <v>644</v>
      </c>
      <c r="J7" s="21">
        <f>ROUND(I7*(1+Assumptions!$B$14*Assumptions!$B$16^(COLUMN()-3)),0)</f>
        <v>667</v>
      </c>
      <c r="K7" s="21">
        <f>ROUND(J7*(1+Assumptions!$B$14*Assumptions!$B$16^(COLUMN()-3)),0)</f>
        <v>690</v>
      </c>
      <c r="L7" s="21">
        <f>ROUND(K7*(1+Assumptions!$B$14*Assumptions!$B$16^(COLUMN()-3)),0)</f>
        <v>713</v>
      </c>
      <c r="M7" s="21">
        <f>ROUND(L7*(1+Assumptions!$B$14*Assumptions!$B$16^(COLUMN()-3)),0)</f>
        <v>735</v>
      </c>
      <c r="N7" s="21">
        <f>ROUND(M7*(1+Assumptions!$B$14*Assumptions!$B$16^(COLUMN()-3)),0)</f>
        <v>757</v>
      </c>
      <c r="O7" s="21">
        <f>ROUND(N7*(1+Assumptions!$B$14*Assumptions!$B$16^(COLUMN()-3)),0)</f>
        <v>779</v>
      </c>
      <c r="P7" s="21">
        <f>ROUND(O7*(1+Assumptions!$B$14*Assumptions!$B$16^(COLUMN()-3)),0)</f>
        <v>800</v>
      </c>
      <c r="Q7" s="21">
        <f>ROUND(P7*(1+Assumptions!$B$14*Assumptions!$B$16^(COLUMN()-3)),0)</f>
        <v>821</v>
      </c>
      <c r="R7" s="21">
        <f>ROUND(Q7*(1+Assumptions!$B$14*Assumptions!$B$16^(COLUMN()-3)),0)</f>
        <v>842</v>
      </c>
      <c r="S7" s="21">
        <f>ROUND(R7*(1+Assumptions!$B$14*Assumptions!$B$16^(COLUMN()-3)),0)</f>
        <v>862</v>
      </c>
      <c r="T7" s="21">
        <f>ROUND(S7*(1+Assumptions!$B$14*Assumptions!$B$16^(COLUMN()-3)),0)</f>
        <v>882</v>
      </c>
      <c r="U7" s="21">
        <f>ROUND(T7*(1+Assumptions!$B$14*Assumptions!$B$16^(COLUMN()-3)),0)</f>
        <v>901</v>
      </c>
      <c r="V7" s="21">
        <f>ROUND(U7*(1+Assumptions!$B$14*Assumptions!$B$16^(COLUMN()-3)),0)</f>
        <v>920</v>
      </c>
      <c r="W7" s="21">
        <f>ROUND(V7*(1+Assumptions!$B$14*Assumptions!$B$16^(COLUMN()-3)),0)</f>
        <v>938</v>
      </c>
      <c r="X7" s="21">
        <f>ROUND(W7*(1+Assumptions!$B$14*Assumptions!$B$16^(COLUMN()-3)),0)</f>
        <v>956</v>
      </c>
      <c r="Y7" s="21">
        <f>ROUND(X7*(1+Assumptions!$B$14*Assumptions!$B$16^(COLUMN()-3)),0)</f>
        <v>973</v>
      </c>
      <c r="Z7" s="21">
        <f>ROUND(Y7*(1+Assumptions!$B$14*Assumptions!$B$16^(COLUMN()-3)),0)</f>
        <v>990</v>
      </c>
      <c r="AA7" s="21">
        <f>ROUND(Z7*(1+Assumptions!$B$14*Assumptions!$B$16^(COLUMN()-3)),0)</f>
        <v>1006</v>
      </c>
      <c r="AB7" s="21">
        <f>ROUND(AA7*(1+Assumptions!$B$14*Assumptions!$B$16^(COLUMN()-3)),0)</f>
        <v>1022</v>
      </c>
      <c r="AC7" s="21">
        <f>ROUND(AB7*(1+Assumptions!$B$14*Assumptions!$B$16^(COLUMN()-3)),0)</f>
        <v>1037</v>
      </c>
      <c r="AD7" s="21">
        <f>ROUND(AC7*(1+Assumptions!$B$14*Assumptions!$B$16^(COLUMN()-3)),0)</f>
        <v>1052</v>
      </c>
      <c r="AE7" s="21">
        <f>ROUND(AD7*(1+Assumptions!$B$14*Assumptions!$B$16^(COLUMN()-3)),0)</f>
        <v>1066</v>
      </c>
      <c r="AF7" s="21">
        <f>ROUND(AE7*(1+Assumptions!$B$14*Assumptions!$B$16^(COLUMN()-3)),0)</f>
        <v>1080</v>
      </c>
      <c r="AG7" s="21">
        <f>ROUND(AF7*(1+Assumptions!$B$14*Assumptions!$B$16^(COLUMN()-3)),0)</f>
        <v>1094</v>
      </c>
      <c r="AH7" s="21">
        <f>ROUND(AG7*(1+Assumptions!$B$14*Assumptions!$B$16^(COLUMN()-3)),0)</f>
        <v>1107</v>
      </c>
      <c r="AI7" s="21">
        <f>ROUND(AH7*(1+Assumptions!$B$14*Assumptions!$B$16^(COLUMN()-3)),0)</f>
        <v>1120</v>
      </c>
      <c r="AJ7" s="21">
        <f>ROUND(AI7*(1+Assumptions!$B$14*Assumptions!$B$16^(COLUMN()-3)),0)</f>
        <v>1132</v>
      </c>
      <c r="AK7" s="21">
        <f>ROUND(AJ7*(1+Assumptions!$B$14*Assumptions!$B$16^(COLUMN()-3)),0)</f>
        <v>1144</v>
      </c>
      <c r="AL7" s="21">
        <f>ROUND(AK7*(1+Assumptions!$B$14*Assumptions!$B$16^(COLUMN()-3)),0)</f>
        <v>1155</v>
      </c>
    </row>
    <row r="8" spans="1:38" x14ac:dyDescent="0.2">
      <c r="A8" s="6" t="s">
        <v>154</v>
      </c>
      <c r="B8" s="6" t="s">
        <v>152</v>
      </c>
      <c r="C8" s="22">
        <f>0</f>
        <v>0</v>
      </c>
      <c r="D8" s="21">
        <f>ROUND((C15+C21+C26)*Assumptions!$B$15,0)</f>
        <v>771</v>
      </c>
      <c r="E8" s="21">
        <f>ROUND((D15+D21+D26)*Assumptions!$B$15,0)</f>
        <v>1609</v>
      </c>
      <c r="F8" s="21">
        <f>ROUND((E15+E21+E26)*Assumptions!$B$15,0)</f>
        <v>2517</v>
      </c>
      <c r="G8" s="21">
        <f>ROUND((F15+F21+F26)*Assumptions!$B$15,0)</f>
        <v>3499</v>
      </c>
      <c r="H8" s="21">
        <f>ROUND((G15+G21+G26)*Assumptions!$B$15,0)</f>
        <v>4559</v>
      </c>
      <c r="I8" s="21">
        <f>ROUND((H15+H21+H26)*Assumptions!$B$15,0)</f>
        <v>5700</v>
      </c>
      <c r="J8" s="21">
        <f>ROUND((I15+I21+I26)*Assumptions!$B$15,0)</f>
        <v>6925</v>
      </c>
      <c r="K8" s="21">
        <f>ROUND((J15+J21+J26)*Assumptions!$B$15,0)</f>
        <v>8238</v>
      </c>
      <c r="L8" s="21">
        <f>ROUND((K15+K21+K26)*Assumptions!$B$15,0)</f>
        <v>9640</v>
      </c>
      <c r="M8" s="21">
        <f>ROUND((L15+L21+L26)*Assumptions!$B$15,0)</f>
        <v>11135</v>
      </c>
      <c r="N8" s="21">
        <f>ROUND((M15+M21+M26)*Assumptions!$B$15,0)</f>
        <v>12724</v>
      </c>
      <c r="O8" s="21">
        <f>ROUND((N15+N21+N26)*Assumptions!$B$15,0)</f>
        <v>14410</v>
      </c>
      <c r="P8" s="21">
        <f>ROUND((O15+O21+O26)*Assumptions!$B$15,0)</f>
        <v>16195</v>
      </c>
      <c r="Q8" s="21">
        <f>ROUND((P15+P21+P26)*Assumptions!$B$15,0)</f>
        <v>18081</v>
      </c>
      <c r="R8" s="21">
        <f>ROUND((Q15+Q21+Q26)*Assumptions!$B$15,0)</f>
        <v>20068</v>
      </c>
      <c r="S8" s="21">
        <f>ROUND((R15+R21+R26)*Assumptions!$B$15,0)</f>
        <v>22159</v>
      </c>
      <c r="T8" s="21">
        <f>ROUND((S15+S21+S26)*Assumptions!$B$15,0)</f>
        <v>24354</v>
      </c>
      <c r="U8" s="21">
        <f>ROUND((T15+T21+T26)*Assumptions!$B$15,0)</f>
        <v>26653</v>
      </c>
      <c r="V8" s="21">
        <f>ROUND((U15+U21+U26)*Assumptions!$B$15,0)</f>
        <v>29059</v>
      </c>
      <c r="W8" s="21">
        <f>ROUND((V15+V21+V26)*Assumptions!$B$15,0)</f>
        <v>31572</v>
      </c>
      <c r="X8" s="21">
        <f>ROUND((W15+W21+W26)*Assumptions!$B$15,0)</f>
        <v>34191</v>
      </c>
      <c r="Y8" s="21">
        <f>ROUND((X15+X21+X26)*Assumptions!$B$15,0)</f>
        <v>36918</v>
      </c>
      <c r="Z8" s="21">
        <f>ROUND((Y15+Y21+Y26)*Assumptions!$B$15,0)</f>
        <v>39751</v>
      </c>
      <c r="AA8" s="21">
        <f>ROUND((Z15+Z21+Z26)*Assumptions!$B$15,0)</f>
        <v>42693</v>
      </c>
      <c r="AB8" s="21">
        <f>ROUND((AA15+AA21+AA26)*Assumptions!$B$15,0)</f>
        <v>45741</v>
      </c>
      <c r="AC8" s="21">
        <f>ROUND((AB15+AB21+AB26)*Assumptions!$B$15,0)</f>
        <v>48897</v>
      </c>
      <c r="AD8" s="21">
        <f>ROUND((AC15+AC21+AC26)*Assumptions!$B$15,0)</f>
        <v>52160</v>
      </c>
      <c r="AE8" s="21">
        <f>ROUND((AD15+AD21+AD26)*Assumptions!$B$15,0)</f>
        <v>55529</v>
      </c>
      <c r="AF8" s="21">
        <f>ROUND((AE15+AE21+AE26)*Assumptions!$B$15,0)</f>
        <v>59005</v>
      </c>
      <c r="AG8" s="21">
        <f>ROUND((AF15+AF21+AF26)*Assumptions!$B$15,0)</f>
        <v>62586</v>
      </c>
      <c r="AH8" s="21">
        <f>ROUND((AG15+AG21+AG26)*Assumptions!$B$15,0)</f>
        <v>66272</v>
      </c>
      <c r="AI8" s="21">
        <f>ROUND((AH15+AH21+AH26)*Assumptions!$B$15,0)</f>
        <v>70064</v>
      </c>
      <c r="AJ8" s="21">
        <f>ROUND((AI15+AI21+AI26)*Assumptions!$B$15,0)</f>
        <v>73959</v>
      </c>
      <c r="AK8" s="21">
        <f>ROUND((AJ15+AJ21+AJ26)*Assumptions!$B$15,0)</f>
        <v>77958</v>
      </c>
      <c r="AL8" s="21">
        <f>ROUND((AK15+AK21+AK26)*Assumptions!$B$15,0)</f>
        <v>82060</v>
      </c>
    </row>
    <row r="9" spans="1:38" x14ac:dyDescent="0.2">
      <c r="A9" s="17" t="s">
        <v>155</v>
      </c>
      <c r="B9" s="17" t="s">
        <v>152</v>
      </c>
      <c r="C9" s="18">
        <f t="shared" ref="C9:AL9" si="0">C6+C7+C8</f>
        <v>10500</v>
      </c>
      <c r="D9" s="18">
        <f t="shared" si="0"/>
        <v>12250</v>
      </c>
      <c r="E9" s="18">
        <f t="shared" si="0"/>
        <v>14111</v>
      </c>
      <c r="F9" s="18">
        <f t="shared" si="0"/>
        <v>16084</v>
      </c>
      <c r="G9" s="18">
        <f t="shared" si="0"/>
        <v>18171</v>
      </c>
      <c r="H9" s="18">
        <f t="shared" si="0"/>
        <v>20373</v>
      </c>
      <c r="I9" s="18">
        <f t="shared" si="0"/>
        <v>22691</v>
      </c>
      <c r="J9" s="18">
        <f t="shared" si="0"/>
        <v>25123</v>
      </c>
      <c r="K9" s="18">
        <f t="shared" si="0"/>
        <v>27672</v>
      </c>
      <c r="L9" s="18">
        <f t="shared" si="0"/>
        <v>30335</v>
      </c>
      <c r="M9" s="18">
        <f t="shared" si="0"/>
        <v>33113</v>
      </c>
      <c r="N9" s="18">
        <f t="shared" si="0"/>
        <v>36004</v>
      </c>
      <c r="O9" s="18">
        <f t="shared" si="0"/>
        <v>39008</v>
      </c>
      <c r="P9" s="18">
        <f t="shared" si="0"/>
        <v>42123</v>
      </c>
      <c r="Q9" s="18">
        <f t="shared" si="0"/>
        <v>45349</v>
      </c>
      <c r="R9" s="18">
        <f t="shared" si="0"/>
        <v>48683</v>
      </c>
      <c r="S9" s="18">
        <f t="shared" si="0"/>
        <v>52123</v>
      </c>
      <c r="T9" s="18">
        <f t="shared" si="0"/>
        <v>55668</v>
      </c>
      <c r="U9" s="18">
        <f t="shared" si="0"/>
        <v>59315</v>
      </c>
      <c r="V9" s="18">
        <f t="shared" si="0"/>
        <v>63064</v>
      </c>
      <c r="W9" s="18">
        <f t="shared" si="0"/>
        <v>66912</v>
      </c>
      <c r="X9" s="18">
        <f t="shared" si="0"/>
        <v>70857</v>
      </c>
      <c r="Y9" s="18">
        <f t="shared" si="0"/>
        <v>74898</v>
      </c>
      <c r="Z9" s="18">
        <f t="shared" si="0"/>
        <v>79031</v>
      </c>
      <c r="AA9" s="18">
        <f t="shared" si="0"/>
        <v>83257</v>
      </c>
      <c r="AB9" s="18">
        <f t="shared" si="0"/>
        <v>87572</v>
      </c>
      <c r="AC9" s="18">
        <f t="shared" si="0"/>
        <v>91976</v>
      </c>
      <c r="AD9" s="18">
        <f t="shared" si="0"/>
        <v>96467</v>
      </c>
      <c r="AE9" s="18">
        <f t="shared" si="0"/>
        <v>101042</v>
      </c>
      <c r="AF9" s="18">
        <f t="shared" si="0"/>
        <v>105701</v>
      </c>
      <c r="AG9" s="18">
        <f t="shared" si="0"/>
        <v>110442</v>
      </c>
      <c r="AH9" s="18">
        <f t="shared" si="0"/>
        <v>115263</v>
      </c>
      <c r="AI9" s="18">
        <f t="shared" si="0"/>
        <v>120165</v>
      </c>
      <c r="AJ9" s="18">
        <f t="shared" si="0"/>
        <v>125144</v>
      </c>
      <c r="AK9" s="18">
        <f t="shared" si="0"/>
        <v>130201</v>
      </c>
      <c r="AL9" s="18">
        <f t="shared" si="0"/>
        <v>135334</v>
      </c>
    </row>
    <row r="10" spans="1:38" x14ac:dyDescent="0.2">
      <c r="A10" s="3" t="s">
        <v>156</v>
      </c>
      <c r="B10" s="4"/>
      <c r="C10" s="4"/>
      <c r="D10" s="4"/>
      <c r="E10" s="4"/>
    </row>
    <row r="11" spans="1:38" x14ac:dyDescent="0.2">
      <c r="A11" s="6" t="s">
        <v>157</v>
      </c>
      <c r="B11" s="6" t="s">
        <v>152</v>
      </c>
      <c r="C11" s="22">
        <f>C9</f>
        <v>10500</v>
      </c>
      <c r="D11" s="22">
        <f t="shared" ref="D11:AL11" si="1">C15+D9</f>
        <v>21458</v>
      </c>
      <c r="E11" s="22">
        <f t="shared" si="1"/>
        <v>32929</v>
      </c>
      <c r="F11" s="22">
        <f t="shared" si="1"/>
        <v>44963</v>
      </c>
      <c r="G11" s="22">
        <f t="shared" si="1"/>
        <v>57603</v>
      </c>
      <c r="H11" s="22">
        <f t="shared" si="1"/>
        <v>70891</v>
      </c>
      <c r="I11" s="22">
        <f t="shared" si="1"/>
        <v>84863</v>
      </c>
      <c r="J11" s="22">
        <f t="shared" si="1"/>
        <v>99548</v>
      </c>
      <c r="K11" s="22">
        <f t="shared" si="1"/>
        <v>114976</v>
      </c>
      <c r="L11" s="22">
        <f t="shared" si="1"/>
        <v>131169</v>
      </c>
      <c r="M11" s="22">
        <f t="shared" si="1"/>
        <v>148148</v>
      </c>
      <c r="N11" s="22">
        <f t="shared" si="1"/>
        <v>165930</v>
      </c>
      <c r="O11" s="22">
        <f t="shared" si="1"/>
        <v>184529</v>
      </c>
      <c r="P11" s="22">
        <f t="shared" si="1"/>
        <v>203955</v>
      </c>
      <c r="Q11" s="22">
        <f t="shared" si="1"/>
        <v>224218</v>
      </c>
      <c r="R11" s="22">
        <f t="shared" si="1"/>
        <v>245322</v>
      </c>
      <c r="S11" s="22">
        <f t="shared" si="1"/>
        <v>267270</v>
      </c>
      <c r="T11" s="22">
        <f t="shared" si="1"/>
        <v>290064</v>
      </c>
      <c r="U11" s="22">
        <f t="shared" si="1"/>
        <v>313701</v>
      </c>
      <c r="V11" s="22">
        <f t="shared" si="1"/>
        <v>338179</v>
      </c>
      <c r="W11" s="22">
        <f t="shared" si="1"/>
        <v>363496</v>
      </c>
      <c r="X11" s="22">
        <f t="shared" si="1"/>
        <v>389643</v>
      </c>
      <c r="Y11" s="22">
        <f t="shared" si="1"/>
        <v>416615</v>
      </c>
      <c r="Z11" s="22">
        <f t="shared" si="1"/>
        <v>444402</v>
      </c>
      <c r="AA11" s="22">
        <f t="shared" si="1"/>
        <v>472998</v>
      </c>
      <c r="AB11" s="22">
        <f t="shared" si="1"/>
        <v>502391</v>
      </c>
      <c r="AC11" s="22">
        <f t="shared" si="1"/>
        <v>532573</v>
      </c>
      <c r="AD11" s="22">
        <f t="shared" si="1"/>
        <v>563533</v>
      </c>
      <c r="AE11" s="22">
        <f t="shared" si="1"/>
        <v>595260</v>
      </c>
      <c r="AF11" s="22">
        <f t="shared" si="1"/>
        <v>627744</v>
      </c>
      <c r="AG11" s="22">
        <f t="shared" si="1"/>
        <v>660973</v>
      </c>
      <c r="AH11" s="22">
        <f t="shared" si="1"/>
        <v>694936</v>
      </c>
      <c r="AI11" s="22">
        <f t="shared" si="1"/>
        <v>729624</v>
      </c>
      <c r="AJ11" s="22">
        <f t="shared" si="1"/>
        <v>765024</v>
      </c>
      <c r="AK11" s="22">
        <f t="shared" si="1"/>
        <v>801127</v>
      </c>
      <c r="AL11" s="22">
        <f t="shared" si="1"/>
        <v>837923</v>
      </c>
    </row>
    <row r="12" spans="1:38" x14ac:dyDescent="0.2">
      <c r="A12" s="6" t="s">
        <v>158</v>
      </c>
      <c r="B12" s="6" t="s">
        <v>152</v>
      </c>
      <c r="C12" s="21">
        <f>ROUND(C11*Assumptions!$B$18,0)</f>
        <v>368</v>
      </c>
      <c r="D12" s="21">
        <f>ROUND(D11*Assumptions!$B$18,0)</f>
        <v>751</v>
      </c>
      <c r="E12" s="21">
        <f>ROUND(E11*Assumptions!$B$18,0)</f>
        <v>1153</v>
      </c>
      <c r="F12" s="21">
        <f>ROUND(F11*Assumptions!$B$18,0)</f>
        <v>1574</v>
      </c>
      <c r="G12" s="21">
        <f>ROUND(G11*Assumptions!$B$18,0)</f>
        <v>2016</v>
      </c>
      <c r="H12" s="21">
        <f>ROUND(H11*Assumptions!$B$18,0)</f>
        <v>2481</v>
      </c>
      <c r="I12" s="21">
        <f>ROUND(I11*Assumptions!$B$18,0)</f>
        <v>2970</v>
      </c>
      <c r="J12" s="21">
        <f>ROUND(J11*Assumptions!$B$18,0)</f>
        <v>3484</v>
      </c>
      <c r="K12" s="21">
        <f>ROUND(K11*Assumptions!$B$18,0)</f>
        <v>4024</v>
      </c>
      <c r="L12" s="21">
        <f>ROUND(L11*Assumptions!$B$18,0)</f>
        <v>4591</v>
      </c>
      <c r="M12" s="21">
        <f>ROUND(M11*Assumptions!$B$18,0)</f>
        <v>5185</v>
      </c>
      <c r="N12" s="21">
        <f>ROUND(N11*Assumptions!$B$18,0)</f>
        <v>5808</v>
      </c>
      <c r="O12" s="21">
        <f>ROUND(O11*Assumptions!$B$18,0)</f>
        <v>6459</v>
      </c>
      <c r="P12" s="21">
        <f>ROUND(P11*Assumptions!$B$18,0)</f>
        <v>7138</v>
      </c>
      <c r="Q12" s="21">
        <f>ROUND(Q11*Assumptions!$B$18,0)</f>
        <v>7848</v>
      </c>
      <c r="R12" s="21">
        <f>ROUND(R11*Assumptions!$B$18,0)</f>
        <v>8586</v>
      </c>
      <c r="S12" s="21">
        <f>ROUND(S11*Assumptions!$B$18,0)</f>
        <v>9354</v>
      </c>
      <c r="T12" s="21">
        <f>ROUND(T11*Assumptions!$B$18,0)</f>
        <v>10152</v>
      </c>
      <c r="U12" s="21">
        <f>ROUND(U11*Assumptions!$B$18,0)</f>
        <v>10980</v>
      </c>
      <c r="V12" s="21">
        <f>ROUND(V11*Assumptions!$B$18,0)</f>
        <v>11836</v>
      </c>
      <c r="W12" s="21">
        <f>ROUND(W11*Assumptions!$B$18,0)</f>
        <v>12722</v>
      </c>
      <c r="X12" s="21">
        <f>ROUND(X11*Assumptions!$B$18,0)</f>
        <v>13638</v>
      </c>
      <c r="Y12" s="21">
        <f>ROUND(Y11*Assumptions!$B$18,0)</f>
        <v>14582</v>
      </c>
      <c r="Z12" s="21">
        <f>ROUND(Z11*Assumptions!$B$18,0)</f>
        <v>15554</v>
      </c>
      <c r="AA12" s="21">
        <f>ROUND(AA11*Assumptions!$B$18,0)</f>
        <v>16555</v>
      </c>
      <c r="AB12" s="21">
        <f>ROUND(AB11*Assumptions!$B$18,0)</f>
        <v>17584</v>
      </c>
      <c r="AC12" s="21">
        <f>ROUND(AC11*Assumptions!$B$18,0)</f>
        <v>18640</v>
      </c>
      <c r="AD12" s="21">
        <f>ROUND(AD11*Assumptions!$B$18,0)</f>
        <v>19724</v>
      </c>
      <c r="AE12" s="21">
        <f>ROUND(AE11*Assumptions!$B$18,0)</f>
        <v>20834</v>
      </c>
      <c r="AF12" s="21">
        <f>ROUND(AF11*Assumptions!$B$18,0)</f>
        <v>21971</v>
      </c>
      <c r="AG12" s="21">
        <f>ROUND(AG11*Assumptions!$B$18,0)</f>
        <v>23134</v>
      </c>
      <c r="AH12" s="21">
        <f>ROUND(AH11*Assumptions!$B$18,0)</f>
        <v>24323</v>
      </c>
      <c r="AI12" s="21">
        <f>ROUND(AI11*Assumptions!$B$18,0)</f>
        <v>25537</v>
      </c>
      <c r="AJ12" s="21">
        <f>ROUND(AJ11*Assumptions!$B$18,0)</f>
        <v>26776</v>
      </c>
      <c r="AK12" s="21">
        <f>ROUND(AK11*Assumptions!$B$18,0)</f>
        <v>28039</v>
      </c>
      <c r="AL12" s="21">
        <f>ROUND(AL11*Assumptions!$B$18,0)</f>
        <v>29327</v>
      </c>
    </row>
    <row r="13" spans="1:38" x14ac:dyDescent="0.2">
      <c r="A13" s="6" t="s">
        <v>159</v>
      </c>
      <c r="B13" s="6" t="s">
        <v>152</v>
      </c>
      <c r="C13" s="21">
        <f>ROUND(C11*Assumptions!$B$19,0)</f>
        <v>84</v>
      </c>
      <c r="D13" s="21">
        <f>ROUND(D11*Assumptions!$B$19,0)</f>
        <v>172</v>
      </c>
      <c r="E13" s="21">
        <f>ROUND(E11*Assumptions!$B$19,0)</f>
        <v>263</v>
      </c>
      <c r="F13" s="21">
        <f>ROUND(F11*Assumptions!$B$19,0)</f>
        <v>360</v>
      </c>
      <c r="G13" s="21">
        <f>ROUND(G11*Assumptions!$B$19,0)</f>
        <v>461</v>
      </c>
      <c r="H13" s="21">
        <f>ROUND(H11*Assumptions!$B$19,0)</f>
        <v>567</v>
      </c>
      <c r="I13" s="21">
        <f>ROUND(I11*Assumptions!$B$19,0)</f>
        <v>679</v>
      </c>
      <c r="J13" s="21">
        <f>ROUND(J11*Assumptions!$B$19,0)</f>
        <v>796</v>
      </c>
      <c r="K13" s="21">
        <f>ROUND(K11*Assumptions!$B$19,0)</f>
        <v>920</v>
      </c>
      <c r="L13" s="21">
        <f>ROUND(L11*Assumptions!$B$19,0)</f>
        <v>1049</v>
      </c>
      <c r="M13" s="21">
        <f>ROUND(M11*Assumptions!$B$19,0)</f>
        <v>1185</v>
      </c>
      <c r="N13" s="21">
        <f>ROUND(N11*Assumptions!$B$19,0)</f>
        <v>1327</v>
      </c>
      <c r="O13" s="21">
        <f>ROUND(O11*Assumptions!$B$19,0)</f>
        <v>1476</v>
      </c>
      <c r="P13" s="21">
        <f>ROUND(P11*Assumptions!$B$19,0)</f>
        <v>1632</v>
      </c>
      <c r="Q13" s="21">
        <f>ROUND(Q11*Assumptions!$B$19,0)</f>
        <v>1794</v>
      </c>
      <c r="R13" s="21">
        <f>ROUND(R11*Assumptions!$B$19,0)</f>
        <v>1963</v>
      </c>
      <c r="S13" s="21">
        <f>ROUND(S11*Assumptions!$B$19,0)</f>
        <v>2138</v>
      </c>
      <c r="T13" s="21">
        <f>ROUND(T11*Assumptions!$B$19,0)</f>
        <v>2321</v>
      </c>
      <c r="U13" s="21">
        <f>ROUND(U11*Assumptions!$B$19,0)</f>
        <v>2510</v>
      </c>
      <c r="V13" s="21">
        <f>ROUND(V11*Assumptions!$B$19,0)</f>
        <v>2705</v>
      </c>
      <c r="W13" s="21">
        <f>ROUND(W11*Assumptions!$B$19,0)</f>
        <v>2908</v>
      </c>
      <c r="X13" s="21">
        <f>ROUND(X11*Assumptions!$B$19,0)</f>
        <v>3117</v>
      </c>
      <c r="Y13" s="21">
        <f>ROUND(Y11*Assumptions!$B$19,0)</f>
        <v>3333</v>
      </c>
      <c r="Z13" s="21">
        <f>ROUND(Z11*Assumptions!$B$19,0)</f>
        <v>3555</v>
      </c>
      <c r="AA13" s="21">
        <f>ROUND(AA11*Assumptions!$B$19,0)</f>
        <v>3784</v>
      </c>
      <c r="AB13" s="21">
        <f>ROUND(AB11*Assumptions!$B$19,0)</f>
        <v>4019</v>
      </c>
      <c r="AC13" s="21">
        <f>ROUND(AC11*Assumptions!$B$19,0)</f>
        <v>4261</v>
      </c>
      <c r="AD13" s="21">
        <f>ROUND(AD11*Assumptions!$B$19,0)</f>
        <v>4508</v>
      </c>
      <c r="AE13" s="21">
        <f>ROUND(AE11*Assumptions!$B$19,0)</f>
        <v>4762</v>
      </c>
      <c r="AF13" s="21">
        <f>ROUND(AF11*Assumptions!$B$19,0)</f>
        <v>5022</v>
      </c>
      <c r="AG13" s="21">
        <f>ROUND(AG11*Assumptions!$B$19,0)</f>
        <v>5288</v>
      </c>
      <c r="AH13" s="21">
        <f>ROUND(AH11*Assumptions!$B$19,0)</f>
        <v>5559</v>
      </c>
      <c r="AI13" s="21">
        <f>ROUND(AI11*Assumptions!$B$19,0)</f>
        <v>5837</v>
      </c>
      <c r="AJ13" s="21">
        <f>ROUND(AJ11*Assumptions!$B$19,0)</f>
        <v>6120</v>
      </c>
      <c r="AK13" s="21">
        <f>ROUND(AK11*Assumptions!$B$19,0)</f>
        <v>6409</v>
      </c>
      <c r="AL13" s="21">
        <f>ROUND(AL11*Assumptions!$B$19,0)</f>
        <v>6703</v>
      </c>
    </row>
    <row r="14" spans="1:38" x14ac:dyDescent="0.2">
      <c r="A14" s="6" t="s">
        <v>160</v>
      </c>
      <c r="B14" s="6" t="s">
        <v>152</v>
      </c>
      <c r="C14" s="21">
        <f>ROUND(C11*Assumptions!$B$21,0)</f>
        <v>840</v>
      </c>
      <c r="D14" s="21">
        <f>ROUND(D11*Assumptions!$B$21,0)</f>
        <v>1717</v>
      </c>
      <c r="E14" s="21">
        <f>ROUND(E11*Assumptions!$B$21,0)</f>
        <v>2634</v>
      </c>
      <c r="F14" s="21">
        <f>ROUND(F11*Assumptions!$B$21,0)</f>
        <v>3597</v>
      </c>
      <c r="G14" s="21">
        <f>ROUND(G11*Assumptions!$B$21,0)</f>
        <v>4608</v>
      </c>
      <c r="H14" s="21">
        <f>ROUND(H11*Assumptions!$B$21,0)</f>
        <v>5671</v>
      </c>
      <c r="I14" s="21">
        <f>ROUND(I11*Assumptions!$B$21,0)</f>
        <v>6789</v>
      </c>
      <c r="J14" s="21">
        <f>ROUND(J11*Assumptions!$B$21,0)</f>
        <v>7964</v>
      </c>
      <c r="K14" s="21">
        <f>ROUND(K11*Assumptions!$B$21,0)</f>
        <v>9198</v>
      </c>
      <c r="L14" s="21">
        <f>ROUND(L11*Assumptions!$B$21,0)</f>
        <v>10494</v>
      </c>
      <c r="M14" s="21">
        <f>ROUND(M11*Assumptions!$B$21,0)</f>
        <v>11852</v>
      </c>
      <c r="N14" s="21">
        <f>ROUND(N11*Assumptions!$B$21,0)</f>
        <v>13274</v>
      </c>
      <c r="O14" s="21">
        <f>ROUND(O11*Assumptions!$B$21,0)</f>
        <v>14762</v>
      </c>
      <c r="P14" s="21">
        <f>ROUND(P11*Assumptions!$B$21,0)</f>
        <v>16316</v>
      </c>
      <c r="Q14" s="21">
        <f>ROUND(Q11*Assumptions!$B$21,0)</f>
        <v>17937</v>
      </c>
      <c r="R14" s="21">
        <f>ROUND(R11*Assumptions!$B$21,0)</f>
        <v>19626</v>
      </c>
      <c r="S14" s="21">
        <f>ROUND(S11*Assumptions!$B$21,0)</f>
        <v>21382</v>
      </c>
      <c r="T14" s="21">
        <f>ROUND(T11*Assumptions!$B$21,0)</f>
        <v>23205</v>
      </c>
      <c r="U14" s="21">
        <f>ROUND(U11*Assumptions!$B$21,0)</f>
        <v>25096</v>
      </c>
      <c r="V14" s="21">
        <f>ROUND(V11*Assumptions!$B$21,0)</f>
        <v>27054</v>
      </c>
      <c r="W14" s="21">
        <f>ROUND(W11*Assumptions!$B$21,0)</f>
        <v>29080</v>
      </c>
      <c r="X14" s="21">
        <f>ROUND(X11*Assumptions!$B$21,0)</f>
        <v>31171</v>
      </c>
      <c r="Y14" s="21">
        <f>ROUND(Y11*Assumptions!$B$21,0)</f>
        <v>33329</v>
      </c>
      <c r="Z14" s="21">
        <f>ROUND(Z11*Assumptions!$B$21,0)</f>
        <v>35552</v>
      </c>
      <c r="AA14" s="21">
        <f>ROUND(AA11*Assumptions!$B$21,0)</f>
        <v>37840</v>
      </c>
      <c r="AB14" s="21">
        <f>ROUND(AB11*Assumptions!$B$21,0)</f>
        <v>40191</v>
      </c>
      <c r="AC14" s="21">
        <f>ROUND(AC11*Assumptions!$B$21,0)</f>
        <v>42606</v>
      </c>
      <c r="AD14" s="21">
        <f>ROUND(AD11*Assumptions!$B$21,0)</f>
        <v>45083</v>
      </c>
      <c r="AE14" s="21">
        <f>ROUND(AE11*Assumptions!$B$21,0)</f>
        <v>47621</v>
      </c>
      <c r="AF14" s="21">
        <f>ROUND(AF11*Assumptions!$B$21,0)</f>
        <v>50220</v>
      </c>
      <c r="AG14" s="21">
        <f>ROUND(AG11*Assumptions!$B$21,0)</f>
        <v>52878</v>
      </c>
      <c r="AH14" s="21">
        <f>ROUND(AH11*Assumptions!$B$21,0)</f>
        <v>55595</v>
      </c>
      <c r="AI14" s="21">
        <f>ROUND(AI11*Assumptions!$B$21,0)</f>
        <v>58370</v>
      </c>
      <c r="AJ14" s="21">
        <f>ROUND(AJ11*Assumptions!$B$21,0)</f>
        <v>61202</v>
      </c>
      <c r="AK14" s="21">
        <f>ROUND(AK11*Assumptions!$B$21,0)</f>
        <v>64090</v>
      </c>
      <c r="AL14" s="21">
        <f>ROUND(AL11*Assumptions!$B$21,0)</f>
        <v>67034</v>
      </c>
    </row>
    <row r="15" spans="1:38" x14ac:dyDescent="0.2">
      <c r="A15" s="17" t="s">
        <v>161</v>
      </c>
      <c r="B15" s="17" t="s">
        <v>152</v>
      </c>
      <c r="C15" s="18">
        <f t="shared" ref="C15:AL15" si="2">C11-C12-C13-C14</f>
        <v>9208</v>
      </c>
      <c r="D15" s="18">
        <f t="shared" si="2"/>
        <v>18818</v>
      </c>
      <c r="E15" s="18">
        <f t="shared" si="2"/>
        <v>28879</v>
      </c>
      <c r="F15" s="18">
        <f t="shared" si="2"/>
        <v>39432</v>
      </c>
      <c r="G15" s="18">
        <f t="shared" si="2"/>
        <v>50518</v>
      </c>
      <c r="H15" s="18">
        <f t="shared" si="2"/>
        <v>62172</v>
      </c>
      <c r="I15" s="18">
        <f t="shared" si="2"/>
        <v>74425</v>
      </c>
      <c r="J15" s="18">
        <f t="shared" si="2"/>
        <v>87304</v>
      </c>
      <c r="K15" s="18">
        <f t="shared" si="2"/>
        <v>100834</v>
      </c>
      <c r="L15" s="18">
        <f t="shared" si="2"/>
        <v>115035</v>
      </c>
      <c r="M15" s="18">
        <f t="shared" si="2"/>
        <v>129926</v>
      </c>
      <c r="N15" s="18">
        <f t="shared" si="2"/>
        <v>145521</v>
      </c>
      <c r="O15" s="18">
        <f t="shared" si="2"/>
        <v>161832</v>
      </c>
      <c r="P15" s="18">
        <f t="shared" si="2"/>
        <v>178869</v>
      </c>
      <c r="Q15" s="18">
        <f t="shared" si="2"/>
        <v>196639</v>
      </c>
      <c r="R15" s="18">
        <f t="shared" si="2"/>
        <v>215147</v>
      </c>
      <c r="S15" s="18">
        <f t="shared" si="2"/>
        <v>234396</v>
      </c>
      <c r="T15" s="18">
        <f t="shared" si="2"/>
        <v>254386</v>
      </c>
      <c r="U15" s="18">
        <f t="shared" si="2"/>
        <v>275115</v>
      </c>
      <c r="V15" s="18">
        <f t="shared" si="2"/>
        <v>296584</v>
      </c>
      <c r="W15" s="18">
        <f t="shared" si="2"/>
        <v>318786</v>
      </c>
      <c r="X15" s="18">
        <f t="shared" si="2"/>
        <v>341717</v>
      </c>
      <c r="Y15" s="18">
        <f t="shared" si="2"/>
        <v>365371</v>
      </c>
      <c r="Z15" s="18">
        <f t="shared" si="2"/>
        <v>389741</v>
      </c>
      <c r="AA15" s="18">
        <f t="shared" si="2"/>
        <v>414819</v>
      </c>
      <c r="AB15" s="18">
        <f t="shared" si="2"/>
        <v>440597</v>
      </c>
      <c r="AC15" s="18">
        <f t="shared" si="2"/>
        <v>467066</v>
      </c>
      <c r="AD15" s="18">
        <f t="shared" si="2"/>
        <v>494218</v>
      </c>
      <c r="AE15" s="18">
        <f t="shared" si="2"/>
        <v>522043</v>
      </c>
      <c r="AF15" s="18">
        <f t="shared" si="2"/>
        <v>550531</v>
      </c>
      <c r="AG15" s="18">
        <f t="shared" si="2"/>
        <v>579673</v>
      </c>
      <c r="AH15" s="18">
        <f t="shared" si="2"/>
        <v>609459</v>
      </c>
      <c r="AI15" s="18">
        <f t="shared" si="2"/>
        <v>639880</v>
      </c>
      <c r="AJ15" s="18">
        <f t="shared" si="2"/>
        <v>670926</v>
      </c>
      <c r="AK15" s="18">
        <f t="shared" si="2"/>
        <v>702589</v>
      </c>
      <c r="AL15" s="18">
        <f t="shared" si="2"/>
        <v>734859</v>
      </c>
    </row>
    <row r="16" spans="1:38" x14ac:dyDescent="0.2">
      <c r="A16" s="3" t="s">
        <v>162</v>
      </c>
      <c r="B16" s="4"/>
      <c r="C16" s="4"/>
      <c r="D16" s="4"/>
      <c r="E16" s="4"/>
    </row>
    <row r="17" spans="1:38" x14ac:dyDescent="0.2">
      <c r="A17" s="6" t="s">
        <v>163</v>
      </c>
      <c r="B17" s="6" t="s">
        <v>152</v>
      </c>
      <c r="C17" s="22">
        <f>0</f>
        <v>0</v>
      </c>
      <c r="D17" s="22">
        <f t="shared" ref="D17:AL17" si="3">C21</f>
        <v>343</v>
      </c>
      <c r="E17" s="22">
        <f t="shared" si="3"/>
        <v>1017</v>
      </c>
      <c r="F17" s="22">
        <f t="shared" si="3"/>
        <v>2018</v>
      </c>
      <c r="G17" s="22">
        <f t="shared" si="3"/>
        <v>3340</v>
      </c>
      <c r="H17" s="22">
        <f t="shared" si="3"/>
        <v>4981</v>
      </c>
      <c r="I17" s="22">
        <f t="shared" si="3"/>
        <v>6940</v>
      </c>
      <c r="J17" s="22">
        <f t="shared" si="3"/>
        <v>9216</v>
      </c>
      <c r="K17" s="22">
        <f t="shared" si="3"/>
        <v>11811</v>
      </c>
      <c r="L17" s="22">
        <f t="shared" si="3"/>
        <v>14726</v>
      </c>
      <c r="M17" s="22">
        <f t="shared" si="3"/>
        <v>17965</v>
      </c>
      <c r="N17" s="22">
        <f t="shared" si="3"/>
        <v>21529</v>
      </c>
      <c r="O17" s="22">
        <f t="shared" si="3"/>
        <v>25423</v>
      </c>
      <c r="P17" s="22">
        <f t="shared" si="3"/>
        <v>29650</v>
      </c>
      <c r="Q17" s="22">
        <f t="shared" si="3"/>
        <v>34213</v>
      </c>
      <c r="R17" s="22">
        <f t="shared" si="3"/>
        <v>39117</v>
      </c>
      <c r="S17" s="22">
        <f t="shared" si="3"/>
        <v>44364</v>
      </c>
      <c r="T17" s="22">
        <f t="shared" si="3"/>
        <v>49958</v>
      </c>
      <c r="U17" s="22">
        <f t="shared" si="3"/>
        <v>55902</v>
      </c>
      <c r="V17" s="22">
        <f t="shared" si="3"/>
        <v>62200</v>
      </c>
      <c r="W17" s="22">
        <f t="shared" si="3"/>
        <v>68853</v>
      </c>
      <c r="X17" s="22">
        <f t="shared" si="3"/>
        <v>75864</v>
      </c>
      <c r="Y17" s="22">
        <f t="shared" si="3"/>
        <v>83237</v>
      </c>
      <c r="Z17" s="22">
        <f t="shared" si="3"/>
        <v>90972</v>
      </c>
      <c r="AA17" s="22">
        <f t="shared" si="3"/>
        <v>99069</v>
      </c>
      <c r="AB17" s="22">
        <f t="shared" si="3"/>
        <v>107531</v>
      </c>
      <c r="AC17" s="22">
        <f t="shared" si="3"/>
        <v>116357</v>
      </c>
      <c r="AD17" s="22">
        <f t="shared" si="3"/>
        <v>125547</v>
      </c>
      <c r="AE17" s="22">
        <f t="shared" si="3"/>
        <v>135102</v>
      </c>
      <c r="AF17" s="22">
        <f t="shared" si="3"/>
        <v>145020</v>
      </c>
      <c r="AG17" s="22">
        <f t="shared" si="3"/>
        <v>155301</v>
      </c>
      <c r="AH17" s="22">
        <f t="shared" si="3"/>
        <v>165944</v>
      </c>
      <c r="AI17" s="22">
        <f t="shared" si="3"/>
        <v>176949</v>
      </c>
      <c r="AJ17" s="22">
        <f t="shared" si="3"/>
        <v>188312</v>
      </c>
      <c r="AK17" s="22">
        <f t="shared" si="3"/>
        <v>200032</v>
      </c>
      <c r="AL17" s="22">
        <f t="shared" si="3"/>
        <v>212106</v>
      </c>
    </row>
    <row r="18" spans="1:38" x14ac:dyDescent="0.2">
      <c r="A18" s="6" t="s">
        <v>164</v>
      </c>
      <c r="B18" s="6" t="s">
        <v>152</v>
      </c>
      <c r="C18" s="22">
        <f t="shared" ref="C18:AL18" si="4">C12</f>
        <v>368</v>
      </c>
      <c r="D18" s="22">
        <f t="shared" si="4"/>
        <v>751</v>
      </c>
      <c r="E18" s="22">
        <f t="shared" si="4"/>
        <v>1153</v>
      </c>
      <c r="F18" s="22">
        <f t="shared" si="4"/>
        <v>1574</v>
      </c>
      <c r="G18" s="22">
        <f t="shared" si="4"/>
        <v>2016</v>
      </c>
      <c r="H18" s="22">
        <f t="shared" si="4"/>
        <v>2481</v>
      </c>
      <c r="I18" s="22">
        <f t="shared" si="4"/>
        <v>2970</v>
      </c>
      <c r="J18" s="22">
        <f t="shared" si="4"/>
        <v>3484</v>
      </c>
      <c r="K18" s="22">
        <f t="shared" si="4"/>
        <v>4024</v>
      </c>
      <c r="L18" s="22">
        <f t="shared" si="4"/>
        <v>4591</v>
      </c>
      <c r="M18" s="22">
        <f t="shared" si="4"/>
        <v>5185</v>
      </c>
      <c r="N18" s="22">
        <f t="shared" si="4"/>
        <v>5808</v>
      </c>
      <c r="O18" s="22">
        <f t="shared" si="4"/>
        <v>6459</v>
      </c>
      <c r="P18" s="22">
        <f t="shared" si="4"/>
        <v>7138</v>
      </c>
      <c r="Q18" s="22">
        <f t="shared" si="4"/>
        <v>7848</v>
      </c>
      <c r="R18" s="22">
        <f t="shared" si="4"/>
        <v>8586</v>
      </c>
      <c r="S18" s="22">
        <f t="shared" si="4"/>
        <v>9354</v>
      </c>
      <c r="T18" s="22">
        <f t="shared" si="4"/>
        <v>10152</v>
      </c>
      <c r="U18" s="22">
        <f t="shared" si="4"/>
        <v>10980</v>
      </c>
      <c r="V18" s="22">
        <f t="shared" si="4"/>
        <v>11836</v>
      </c>
      <c r="W18" s="22">
        <f t="shared" si="4"/>
        <v>12722</v>
      </c>
      <c r="X18" s="22">
        <f t="shared" si="4"/>
        <v>13638</v>
      </c>
      <c r="Y18" s="22">
        <f t="shared" si="4"/>
        <v>14582</v>
      </c>
      <c r="Z18" s="22">
        <f t="shared" si="4"/>
        <v>15554</v>
      </c>
      <c r="AA18" s="22">
        <f t="shared" si="4"/>
        <v>16555</v>
      </c>
      <c r="AB18" s="22">
        <f t="shared" si="4"/>
        <v>17584</v>
      </c>
      <c r="AC18" s="22">
        <f t="shared" si="4"/>
        <v>18640</v>
      </c>
      <c r="AD18" s="22">
        <f t="shared" si="4"/>
        <v>19724</v>
      </c>
      <c r="AE18" s="22">
        <f t="shared" si="4"/>
        <v>20834</v>
      </c>
      <c r="AF18" s="22">
        <f t="shared" si="4"/>
        <v>21971</v>
      </c>
      <c r="AG18" s="22">
        <f t="shared" si="4"/>
        <v>23134</v>
      </c>
      <c r="AH18" s="22">
        <f t="shared" si="4"/>
        <v>24323</v>
      </c>
      <c r="AI18" s="22">
        <f t="shared" si="4"/>
        <v>25537</v>
      </c>
      <c r="AJ18" s="22">
        <f t="shared" si="4"/>
        <v>26776</v>
      </c>
      <c r="AK18" s="22">
        <f t="shared" si="4"/>
        <v>28039</v>
      </c>
      <c r="AL18" s="22">
        <f t="shared" si="4"/>
        <v>29327</v>
      </c>
    </row>
    <row r="19" spans="1:38" x14ac:dyDescent="0.2">
      <c r="A19" s="6" t="s">
        <v>165</v>
      </c>
      <c r="B19" s="6" t="s">
        <v>152</v>
      </c>
      <c r="C19" s="21">
        <f>ROUND((C17+C18)*Assumptions!$B$20,0)</f>
        <v>7</v>
      </c>
      <c r="D19" s="21">
        <f>ROUND((D17+D18)*Assumptions!$B$20,0)</f>
        <v>22</v>
      </c>
      <c r="E19" s="21">
        <f>ROUND((E17+E18)*Assumptions!$B$20,0)</f>
        <v>43</v>
      </c>
      <c r="F19" s="21">
        <f>ROUND((F17+F18)*Assumptions!$B$20,0)</f>
        <v>72</v>
      </c>
      <c r="G19" s="21">
        <f>ROUND((G17+G18)*Assumptions!$B$20,0)</f>
        <v>107</v>
      </c>
      <c r="H19" s="21">
        <f>ROUND((H17+H18)*Assumptions!$B$20,0)</f>
        <v>149</v>
      </c>
      <c r="I19" s="21">
        <f>ROUND((I17+I18)*Assumptions!$B$20,0)</f>
        <v>198</v>
      </c>
      <c r="J19" s="21">
        <f>ROUND((J17+J18)*Assumptions!$B$20,0)</f>
        <v>254</v>
      </c>
      <c r="K19" s="21">
        <f>ROUND((K17+K18)*Assumptions!$B$20,0)</f>
        <v>317</v>
      </c>
      <c r="L19" s="21">
        <f>ROUND((L17+L18)*Assumptions!$B$20,0)</f>
        <v>386</v>
      </c>
      <c r="M19" s="21">
        <f>ROUND((M17+M18)*Assumptions!$B$20,0)</f>
        <v>463</v>
      </c>
      <c r="N19" s="21">
        <f>ROUND((N17+N18)*Assumptions!$B$20,0)</f>
        <v>547</v>
      </c>
      <c r="O19" s="21">
        <f>ROUND((O17+O18)*Assumptions!$B$20,0)</f>
        <v>638</v>
      </c>
      <c r="P19" s="21">
        <f>ROUND((P17+P18)*Assumptions!$B$20,0)</f>
        <v>736</v>
      </c>
      <c r="Q19" s="21">
        <f>ROUND((Q17+Q18)*Assumptions!$B$20,0)</f>
        <v>841</v>
      </c>
      <c r="R19" s="21">
        <f>ROUND((R17+R18)*Assumptions!$B$20,0)</f>
        <v>954</v>
      </c>
      <c r="S19" s="21">
        <f>ROUND((S17+S18)*Assumptions!$B$20,0)</f>
        <v>1074</v>
      </c>
      <c r="T19" s="21">
        <f>ROUND((T17+T18)*Assumptions!$B$20,0)</f>
        <v>1202</v>
      </c>
      <c r="U19" s="21">
        <f>ROUND((U17+U18)*Assumptions!$B$20,0)</f>
        <v>1338</v>
      </c>
      <c r="V19" s="21">
        <f>ROUND((V17+V18)*Assumptions!$B$20,0)</f>
        <v>1481</v>
      </c>
      <c r="W19" s="21">
        <f>ROUND((W17+W18)*Assumptions!$B$20,0)</f>
        <v>1632</v>
      </c>
      <c r="X19" s="21">
        <f>ROUND((X17+X18)*Assumptions!$B$20,0)</f>
        <v>1790</v>
      </c>
      <c r="Y19" s="21">
        <f>ROUND((Y17+Y18)*Assumptions!$B$20,0)</f>
        <v>1956</v>
      </c>
      <c r="Z19" s="21">
        <f>ROUND((Z17+Z18)*Assumptions!$B$20,0)</f>
        <v>2131</v>
      </c>
      <c r="AA19" s="21">
        <f>ROUND((AA17+AA18)*Assumptions!$B$20,0)</f>
        <v>2312</v>
      </c>
      <c r="AB19" s="21">
        <f>ROUND((AB17+AB18)*Assumptions!$B$20,0)</f>
        <v>2502</v>
      </c>
      <c r="AC19" s="21">
        <f>ROUND((AC17+AC18)*Assumptions!$B$20,0)</f>
        <v>2700</v>
      </c>
      <c r="AD19" s="21">
        <f>ROUND((AD17+AD18)*Assumptions!$B$20,0)</f>
        <v>2905</v>
      </c>
      <c r="AE19" s="21">
        <f>ROUND((AE17+AE18)*Assumptions!$B$20,0)</f>
        <v>3119</v>
      </c>
      <c r="AF19" s="21">
        <f>ROUND((AF17+AF18)*Assumptions!$B$20,0)</f>
        <v>3340</v>
      </c>
      <c r="AG19" s="21">
        <f>ROUND((AG17+AG18)*Assumptions!$B$20,0)</f>
        <v>3569</v>
      </c>
      <c r="AH19" s="21">
        <f>ROUND((AH17+AH18)*Assumptions!$B$20,0)</f>
        <v>3805</v>
      </c>
      <c r="AI19" s="21">
        <f>ROUND((AI17+AI18)*Assumptions!$B$20,0)</f>
        <v>4050</v>
      </c>
      <c r="AJ19" s="21">
        <f>ROUND((AJ17+AJ18)*Assumptions!$B$20,0)</f>
        <v>4302</v>
      </c>
      <c r="AK19" s="21">
        <f>ROUND((AK17+AK18)*Assumptions!$B$20,0)</f>
        <v>4561</v>
      </c>
      <c r="AL19" s="21">
        <f>ROUND((AL17+AL18)*Assumptions!$B$20,0)</f>
        <v>4829</v>
      </c>
    </row>
    <row r="20" spans="1:38" x14ac:dyDescent="0.2">
      <c r="A20" s="6" t="s">
        <v>160</v>
      </c>
      <c r="B20" s="6" t="s">
        <v>152</v>
      </c>
      <c r="C20" s="21">
        <f>ROUND((C17+C18)*Assumptions!$B$22,0)</f>
        <v>18</v>
      </c>
      <c r="D20" s="21">
        <f>ROUND((D17+D18)*Assumptions!$B$22,0)</f>
        <v>55</v>
      </c>
      <c r="E20" s="21">
        <f>ROUND((E17+E18)*Assumptions!$B$22,0)</f>
        <v>109</v>
      </c>
      <c r="F20" s="21">
        <f>ROUND((F17+F18)*Assumptions!$B$22,0)</f>
        <v>180</v>
      </c>
      <c r="G20" s="21">
        <f>ROUND((G17+G18)*Assumptions!$B$22,0)</f>
        <v>268</v>
      </c>
      <c r="H20" s="21">
        <f>ROUND((H17+H18)*Assumptions!$B$22,0)</f>
        <v>373</v>
      </c>
      <c r="I20" s="21">
        <f>ROUND((I17+I18)*Assumptions!$B$22,0)</f>
        <v>496</v>
      </c>
      <c r="J20" s="21">
        <f>ROUND((J17+J18)*Assumptions!$B$22,0)</f>
        <v>635</v>
      </c>
      <c r="K20" s="21">
        <f>ROUND((K17+K18)*Assumptions!$B$22,0)</f>
        <v>792</v>
      </c>
      <c r="L20" s="21">
        <f>ROUND((L17+L18)*Assumptions!$B$22,0)</f>
        <v>966</v>
      </c>
      <c r="M20" s="21">
        <f>ROUND((M17+M18)*Assumptions!$B$22,0)</f>
        <v>1158</v>
      </c>
      <c r="N20" s="21">
        <f>ROUND((N17+N18)*Assumptions!$B$22,0)</f>
        <v>1367</v>
      </c>
      <c r="O20" s="21">
        <f>ROUND((O17+O18)*Assumptions!$B$22,0)</f>
        <v>1594</v>
      </c>
      <c r="P20" s="21">
        <f>ROUND((P17+P18)*Assumptions!$B$22,0)</f>
        <v>1839</v>
      </c>
      <c r="Q20" s="21">
        <f>ROUND((Q17+Q18)*Assumptions!$B$22,0)</f>
        <v>2103</v>
      </c>
      <c r="R20" s="21">
        <f>ROUND((R17+R18)*Assumptions!$B$22,0)</f>
        <v>2385</v>
      </c>
      <c r="S20" s="21">
        <f>ROUND((S17+S18)*Assumptions!$B$22,0)</f>
        <v>2686</v>
      </c>
      <c r="T20" s="21">
        <f>ROUND((T17+T18)*Assumptions!$B$22,0)</f>
        <v>3006</v>
      </c>
      <c r="U20" s="21">
        <f>ROUND((U17+U18)*Assumptions!$B$22,0)</f>
        <v>3344</v>
      </c>
      <c r="V20" s="21">
        <f>ROUND((V17+V18)*Assumptions!$B$22,0)</f>
        <v>3702</v>
      </c>
      <c r="W20" s="21">
        <f>ROUND((W17+W18)*Assumptions!$B$22,0)</f>
        <v>4079</v>
      </c>
      <c r="X20" s="21">
        <f>ROUND((X17+X18)*Assumptions!$B$22,0)</f>
        <v>4475</v>
      </c>
      <c r="Y20" s="21">
        <f>ROUND((Y17+Y18)*Assumptions!$B$22,0)</f>
        <v>4891</v>
      </c>
      <c r="Z20" s="21">
        <f>ROUND((Z17+Z18)*Assumptions!$B$22,0)</f>
        <v>5326</v>
      </c>
      <c r="AA20" s="21">
        <f>ROUND((AA17+AA18)*Assumptions!$B$22,0)</f>
        <v>5781</v>
      </c>
      <c r="AB20" s="21">
        <f>ROUND((AB17+AB18)*Assumptions!$B$22,0)</f>
        <v>6256</v>
      </c>
      <c r="AC20" s="21">
        <f>ROUND((AC17+AC18)*Assumptions!$B$22,0)</f>
        <v>6750</v>
      </c>
      <c r="AD20" s="21">
        <f>ROUND((AD17+AD18)*Assumptions!$B$22,0)</f>
        <v>7264</v>
      </c>
      <c r="AE20" s="21">
        <f>ROUND((AE17+AE18)*Assumptions!$B$22,0)</f>
        <v>7797</v>
      </c>
      <c r="AF20" s="21">
        <f>ROUND((AF17+AF18)*Assumptions!$B$22,0)</f>
        <v>8350</v>
      </c>
      <c r="AG20" s="21">
        <f>ROUND((AG17+AG18)*Assumptions!$B$22,0)</f>
        <v>8922</v>
      </c>
      <c r="AH20" s="21">
        <f>ROUND((AH17+AH18)*Assumptions!$B$22,0)</f>
        <v>9513</v>
      </c>
      <c r="AI20" s="21">
        <f>ROUND((AI17+AI18)*Assumptions!$B$22,0)</f>
        <v>10124</v>
      </c>
      <c r="AJ20" s="21">
        <f>ROUND((AJ17+AJ18)*Assumptions!$B$22,0)</f>
        <v>10754</v>
      </c>
      <c r="AK20" s="21">
        <f>ROUND((AK17+AK18)*Assumptions!$B$22,0)</f>
        <v>11404</v>
      </c>
      <c r="AL20" s="21">
        <f>ROUND((AL17+AL18)*Assumptions!$B$22,0)</f>
        <v>12072</v>
      </c>
    </row>
    <row r="21" spans="1:38" x14ac:dyDescent="0.2">
      <c r="A21" s="17" t="s">
        <v>166</v>
      </c>
      <c r="B21" s="17" t="s">
        <v>152</v>
      </c>
      <c r="C21" s="18">
        <f t="shared" ref="C21:AL21" si="5">C17+C18-C19-C20</f>
        <v>343</v>
      </c>
      <c r="D21" s="18">
        <f t="shared" si="5"/>
        <v>1017</v>
      </c>
      <c r="E21" s="18">
        <f t="shared" si="5"/>
        <v>2018</v>
      </c>
      <c r="F21" s="18">
        <f t="shared" si="5"/>
        <v>3340</v>
      </c>
      <c r="G21" s="18">
        <f t="shared" si="5"/>
        <v>4981</v>
      </c>
      <c r="H21" s="18">
        <f t="shared" si="5"/>
        <v>6940</v>
      </c>
      <c r="I21" s="18">
        <f t="shared" si="5"/>
        <v>9216</v>
      </c>
      <c r="J21" s="18">
        <f t="shared" si="5"/>
        <v>11811</v>
      </c>
      <c r="K21" s="18">
        <f t="shared" si="5"/>
        <v>14726</v>
      </c>
      <c r="L21" s="18">
        <f t="shared" si="5"/>
        <v>17965</v>
      </c>
      <c r="M21" s="18">
        <f t="shared" si="5"/>
        <v>21529</v>
      </c>
      <c r="N21" s="18">
        <f t="shared" si="5"/>
        <v>25423</v>
      </c>
      <c r="O21" s="18">
        <f t="shared" si="5"/>
        <v>29650</v>
      </c>
      <c r="P21" s="18">
        <f t="shared" si="5"/>
        <v>34213</v>
      </c>
      <c r="Q21" s="18">
        <f t="shared" si="5"/>
        <v>39117</v>
      </c>
      <c r="R21" s="18">
        <f t="shared" si="5"/>
        <v>44364</v>
      </c>
      <c r="S21" s="18">
        <f t="shared" si="5"/>
        <v>49958</v>
      </c>
      <c r="T21" s="18">
        <f t="shared" si="5"/>
        <v>55902</v>
      </c>
      <c r="U21" s="18">
        <f t="shared" si="5"/>
        <v>62200</v>
      </c>
      <c r="V21" s="18">
        <f t="shared" si="5"/>
        <v>68853</v>
      </c>
      <c r="W21" s="18">
        <f t="shared" si="5"/>
        <v>75864</v>
      </c>
      <c r="X21" s="18">
        <f t="shared" si="5"/>
        <v>83237</v>
      </c>
      <c r="Y21" s="18">
        <f t="shared" si="5"/>
        <v>90972</v>
      </c>
      <c r="Z21" s="18">
        <f t="shared" si="5"/>
        <v>99069</v>
      </c>
      <c r="AA21" s="18">
        <f t="shared" si="5"/>
        <v>107531</v>
      </c>
      <c r="AB21" s="18">
        <f t="shared" si="5"/>
        <v>116357</v>
      </c>
      <c r="AC21" s="18">
        <f t="shared" si="5"/>
        <v>125547</v>
      </c>
      <c r="AD21" s="18">
        <f t="shared" si="5"/>
        <v>135102</v>
      </c>
      <c r="AE21" s="18">
        <f t="shared" si="5"/>
        <v>145020</v>
      </c>
      <c r="AF21" s="18">
        <f t="shared" si="5"/>
        <v>155301</v>
      </c>
      <c r="AG21" s="18">
        <f t="shared" si="5"/>
        <v>165944</v>
      </c>
      <c r="AH21" s="18">
        <f t="shared" si="5"/>
        <v>176949</v>
      </c>
      <c r="AI21" s="18">
        <f t="shared" si="5"/>
        <v>188312</v>
      </c>
      <c r="AJ21" s="18">
        <f t="shared" si="5"/>
        <v>200032</v>
      </c>
      <c r="AK21" s="18">
        <f t="shared" si="5"/>
        <v>212106</v>
      </c>
      <c r="AL21" s="18">
        <f t="shared" si="5"/>
        <v>224532</v>
      </c>
    </row>
    <row r="22" spans="1:38" x14ac:dyDescent="0.2">
      <c r="A22" s="3" t="s">
        <v>167</v>
      </c>
      <c r="B22" s="4"/>
      <c r="C22" s="4"/>
      <c r="D22" s="4"/>
      <c r="E22" s="4"/>
    </row>
    <row r="23" spans="1:38" x14ac:dyDescent="0.2">
      <c r="A23" s="6" t="s">
        <v>168</v>
      </c>
      <c r="B23" s="6" t="s">
        <v>152</v>
      </c>
      <c r="C23" s="22">
        <f>0</f>
        <v>0</v>
      </c>
      <c r="D23" s="22">
        <f t="shared" ref="D23:AL23" si="6">C26</f>
        <v>88</v>
      </c>
      <c r="E23" s="22">
        <f t="shared" si="6"/>
        <v>274</v>
      </c>
      <c r="F23" s="22">
        <f t="shared" si="6"/>
        <v>563</v>
      </c>
      <c r="G23" s="22">
        <f t="shared" si="6"/>
        <v>965</v>
      </c>
      <c r="H23" s="22">
        <f t="shared" si="6"/>
        <v>1487</v>
      </c>
      <c r="I23" s="22">
        <f t="shared" si="6"/>
        <v>2137</v>
      </c>
      <c r="J23" s="22">
        <f t="shared" si="6"/>
        <v>2924</v>
      </c>
      <c r="K23" s="22">
        <f t="shared" si="6"/>
        <v>3855</v>
      </c>
      <c r="L23" s="22">
        <f t="shared" si="6"/>
        <v>4939</v>
      </c>
      <c r="M23" s="22">
        <f t="shared" si="6"/>
        <v>6183</v>
      </c>
      <c r="N23" s="22">
        <f t="shared" si="6"/>
        <v>7596</v>
      </c>
      <c r="O23" s="22">
        <f t="shared" si="6"/>
        <v>9186</v>
      </c>
      <c r="P23" s="22">
        <f t="shared" si="6"/>
        <v>10961</v>
      </c>
      <c r="Q23" s="22">
        <f t="shared" si="6"/>
        <v>12929</v>
      </c>
      <c r="R23" s="22">
        <f t="shared" si="6"/>
        <v>15097</v>
      </c>
      <c r="S23" s="22">
        <f t="shared" si="6"/>
        <v>17474</v>
      </c>
      <c r="T23" s="22">
        <f t="shared" si="6"/>
        <v>20065</v>
      </c>
      <c r="U23" s="22">
        <f t="shared" si="6"/>
        <v>22880</v>
      </c>
      <c r="V23" s="22">
        <f t="shared" si="6"/>
        <v>25926</v>
      </c>
      <c r="W23" s="22">
        <f t="shared" si="6"/>
        <v>29209</v>
      </c>
      <c r="X23" s="22">
        <f t="shared" si="6"/>
        <v>32737</v>
      </c>
      <c r="Y23" s="22">
        <f t="shared" si="6"/>
        <v>36515</v>
      </c>
      <c r="Z23" s="22">
        <f t="shared" si="6"/>
        <v>40550</v>
      </c>
      <c r="AA23" s="22">
        <f t="shared" si="6"/>
        <v>44849</v>
      </c>
      <c r="AB23" s="22">
        <f t="shared" si="6"/>
        <v>49417</v>
      </c>
      <c r="AC23" s="22">
        <f t="shared" si="6"/>
        <v>54260</v>
      </c>
      <c r="AD23" s="22">
        <f t="shared" si="6"/>
        <v>59384</v>
      </c>
      <c r="AE23" s="22">
        <f t="shared" si="6"/>
        <v>64793</v>
      </c>
      <c r="AF23" s="22">
        <f t="shared" si="6"/>
        <v>70494</v>
      </c>
      <c r="AG23" s="22">
        <f t="shared" si="6"/>
        <v>76490</v>
      </c>
      <c r="AH23" s="22">
        <f t="shared" si="6"/>
        <v>82787</v>
      </c>
      <c r="AI23" s="22">
        <f t="shared" si="6"/>
        <v>89386</v>
      </c>
      <c r="AJ23" s="22">
        <f t="shared" si="6"/>
        <v>96295</v>
      </c>
      <c r="AK23" s="22">
        <f t="shared" si="6"/>
        <v>103515</v>
      </c>
      <c r="AL23" s="22">
        <f t="shared" si="6"/>
        <v>111050</v>
      </c>
    </row>
    <row r="24" spans="1:38" x14ac:dyDescent="0.2">
      <c r="A24" s="6" t="s">
        <v>169</v>
      </c>
      <c r="B24" s="6" t="s">
        <v>152</v>
      </c>
      <c r="C24" s="22">
        <f t="shared" ref="C24:AL24" si="7">C13+C19</f>
        <v>91</v>
      </c>
      <c r="D24" s="22">
        <f t="shared" si="7"/>
        <v>194</v>
      </c>
      <c r="E24" s="22">
        <f t="shared" si="7"/>
        <v>306</v>
      </c>
      <c r="F24" s="22">
        <f t="shared" si="7"/>
        <v>432</v>
      </c>
      <c r="G24" s="22">
        <f t="shared" si="7"/>
        <v>568</v>
      </c>
      <c r="H24" s="22">
        <f t="shared" si="7"/>
        <v>716</v>
      </c>
      <c r="I24" s="22">
        <f t="shared" si="7"/>
        <v>877</v>
      </c>
      <c r="J24" s="22">
        <f t="shared" si="7"/>
        <v>1050</v>
      </c>
      <c r="K24" s="22">
        <f t="shared" si="7"/>
        <v>1237</v>
      </c>
      <c r="L24" s="22">
        <f t="shared" si="7"/>
        <v>1435</v>
      </c>
      <c r="M24" s="22">
        <f t="shared" si="7"/>
        <v>1648</v>
      </c>
      <c r="N24" s="22">
        <f t="shared" si="7"/>
        <v>1874</v>
      </c>
      <c r="O24" s="22">
        <f t="shared" si="7"/>
        <v>2114</v>
      </c>
      <c r="P24" s="22">
        <f t="shared" si="7"/>
        <v>2368</v>
      </c>
      <c r="Q24" s="22">
        <f t="shared" si="7"/>
        <v>2635</v>
      </c>
      <c r="R24" s="22">
        <f t="shared" si="7"/>
        <v>2917</v>
      </c>
      <c r="S24" s="22">
        <f t="shared" si="7"/>
        <v>3212</v>
      </c>
      <c r="T24" s="22">
        <f t="shared" si="7"/>
        <v>3523</v>
      </c>
      <c r="U24" s="22">
        <f t="shared" si="7"/>
        <v>3848</v>
      </c>
      <c r="V24" s="22">
        <f t="shared" si="7"/>
        <v>4186</v>
      </c>
      <c r="W24" s="22">
        <f t="shared" si="7"/>
        <v>4540</v>
      </c>
      <c r="X24" s="22">
        <f t="shared" si="7"/>
        <v>4907</v>
      </c>
      <c r="Y24" s="22">
        <f t="shared" si="7"/>
        <v>5289</v>
      </c>
      <c r="Z24" s="22">
        <f t="shared" si="7"/>
        <v>5686</v>
      </c>
      <c r="AA24" s="22">
        <f t="shared" si="7"/>
        <v>6096</v>
      </c>
      <c r="AB24" s="22">
        <f t="shared" si="7"/>
        <v>6521</v>
      </c>
      <c r="AC24" s="22">
        <f t="shared" si="7"/>
        <v>6961</v>
      </c>
      <c r="AD24" s="22">
        <f t="shared" si="7"/>
        <v>7413</v>
      </c>
      <c r="AE24" s="22">
        <f t="shared" si="7"/>
        <v>7881</v>
      </c>
      <c r="AF24" s="22">
        <f t="shared" si="7"/>
        <v>8362</v>
      </c>
      <c r="AG24" s="22">
        <f t="shared" si="7"/>
        <v>8857</v>
      </c>
      <c r="AH24" s="22">
        <f t="shared" si="7"/>
        <v>9364</v>
      </c>
      <c r="AI24" s="22">
        <f t="shared" si="7"/>
        <v>9887</v>
      </c>
      <c r="AJ24" s="22">
        <f t="shared" si="7"/>
        <v>10422</v>
      </c>
      <c r="AK24" s="22">
        <f t="shared" si="7"/>
        <v>10970</v>
      </c>
      <c r="AL24" s="22">
        <f t="shared" si="7"/>
        <v>11532</v>
      </c>
    </row>
    <row r="25" spans="1:38" x14ac:dyDescent="0.2">
      <c r="A25" s="6" t="s">
        <v>160</v>
      </c>
      <c r="B25" s="6" t="s">
        <v>152</v>
      </c>
      <c r="C25" s="21">
        <f>ROUND((C23+C24)*Assumptions!$B$23,0)</f>
        <v>3</v>
      </c>
      <c r="D25" s="21">
        <f>ROUND((D23+D24)*Assumptions!$B$23,0)</f>
        <v>8</v>
      </c>
      <c r="E25" s="21">
        <f>ROUND((E23+E24)*Assumptions!$B$23,0)</f>
        <v>17</v>
      </c>
      <c r="F25" s="21">
        <f>ROUND((F23+F24)*Assumptions!$B$23,0)</f>
        <v>30</v>
      </c>
      <c r="G25" s="21">
        <f>ROUND((G23+G24)*Assumptions!$B$23,0)</f>
        <v>46</v>
      </c>
      <c r="H25" s="21">
        <f>ROUND((H23+H24)*Assumptions!$B$23,0)</f>
        <v>66</v>
      </c>
      <c r="I25" s="21">
        <f>ROUND((I23+I24)*Assumptions!$B$23,0)</f>
        <v>90</v>
      </c>
      <c r="J25" s="21">
        <f>ROUND((J23+J24)*Assumptions!$B$23,0)</f>
        <v>119</v>
      </c>
      <c r="K25" s="21">
        <f>ROUND((K23+K24)*Assumptions!$B$23,0)</f>
        <v>153</v>
      </c>
      <c r="L25" s="21">
        <f>ROUND((L23+L24)*Assumptions!$B$23,0)</f>
        <v>191</v>
      </c>
      <c r="M25" s="21">
        <f>ROUND((M23+M24)*Assumptions!$B$23,0)</f>
        <v>235</v>
      </c>
      <c r="N25" s="21">
        <f>ROUND((N23+N24)*Assumptions!$B$23,0)</f>
        <v>284</v>
      </c>
      <c r="O25" s="21">
        <f>ROUND((O23+O24)*Assumptions!$B$23,0)</f>
        <v>339</v>
      </c>
      <c r="P25" s="21">
        <f>ROUND((P23+P24)*Assumptions!$B$23,0)</f>
        <v>400</v>
      </c>
      <c r="Q25" s="21">
        <f>ROUND((Q23+Q24)*Assumptions!$B$23,0)</f>
        <v>467</v>
      </c>
      <c r="R25" s="21">
        <f>ROUND((R23+R24)*Assumptions!$B$23,0)</f>
        <v>540</v>
      </c>
      <c r="S25" s="21">
        <f>ROUND((S23+S24)*Assumptions!$B$23,0)</f>
        <v>621</v>
      </c>
      <c r="T25" s="21">
        <f>ROUND((T23+T24)*Assumptions!$B$23,0)</f>
        <v>708</v>
      </c>
      <c r="U25" s="21">
        <f>ROUND((U23+U24)*Assumptions!$B$23,0)</f>
        <v>802</v>
      </c>
      <c r="V25" s="21">
        <f>ROUND((V23+V24)*Assumptions!$B$23,0)</f>
        <v>903</v>
      </c>
      <c r="W25" s="21">
        <f>ROUND((W23+W24)*Assumptions!$B$23,0)</f>
        <v>1012</v>
      </c>
      <c r="X25" s="21">
        <f>ROUND((X23+X24)*Assumptions!$B$23,0)</f>
        <v>1129</v>
      </c>
      <c r="Y25" s="21">
        <f>ROUND((Y23+Y24)*Assumptions!$B$23,0)</f>
        <v>1254</v>
      </c>
      <c r="Z25" s="21">
        <f>ROUND((Z23+Z24)*Assumptions!$B$23,0)</f>
        <v>1387</v>
      </c>
      <c r="AA25" s="21">
        <f>ROUND((AA23+AA24)*Assumptions!$B$23,0)</f>
        <v>1528</v>
      </c>
      <c r="AB25" s="21">
        <f>ROUND((AB23+AB24)*Assumptions!$B$23,0)</f>
        <v>1678</v>
      </c>
      <c r="AC25" s="21">
        <f>ROUND((AC23+AC24)*Assumptions!$B$23,0)</f>
        <v>1837</v>
      </c>
      <c r="AD25" s="21">
        <f>ROUND((AD23+AD24)*Assumptions!$B$23,0)</f>
        <v>2004</v>
      </c>
      <c r="AE25" s="21">
        <f>ROUND((AE23+AE24)*Assumptions!$B$23,0)</f>
        <v>2180</v>
      </c>
      <c r="AF25" s="21">
        <f>ROUND((AF23+AF24)*Assumptions!$B$23,0)</f>
        <v>2366</v>
      </c>
      <c r="AG25" s="21">
        <f>ROUND((AG23+AG24)*Assumptions!$B$23,0)</f>
        <v>2560</v>
      </c>
      <c r="AH25" s="21">
        <f>ROUND((AH23+AH24)*Assumptions!$B$23,0)</f>
        <v>2765</v>
      </c>
      <c r="AI25" s="21">
        <f>ROUND((AI23+AI24)*Assumptions!$B$23,0)</f>
        <v>2978</v>
      </c>
      <c r="AJ25" s="21">
        <f>ROUND((AJ23+AJ24)*Assumptions!$B$23,0)</f>
        <v>3202</v>
      </c>
      <c r="AK25" s="21">
        <f>ROUND((AK23+AK24)*Assumptions!$B$23,0)</f>
        <v>3435</v>
      </c>
      <c r="AL25" s="21">
        <f>ROUND((AL23+AL24)*Assumptions!$B$23,0)</f>
        <v>3677</v>
      </c>
    </row>
    <row r="26" spans="1:38" x14ac:dyDescent="0.2">
      <c r="A26" s="17" t="s">
        <v>170</v>
      </c>
      <c r="B26" s="17" t="s">
        <v>152</v>
      </c>
      <c r="C26" s="18">
        <f t="shared" ref="C26:AL26" si="8">C23+C24-C25</f>
        <v>88</v>
      </c>
      <c r="D26" s="18">
        <f t="shared" si="8"/>
        <v>274</v>
      </c>
      <c r="E26" s="18">
        <f t="shared" si="8"/>
        <v>563</v>
      </c>
      <c r="F26" s="18">
        <f t="shared" si="8"/>
        <v>965</v>
      </c>
      <c r="G26" s="18">
        <f t="shared" si="8"/>
        <v>1487</v>
      </c>
      <c r="H26" s="18">
        <f t="shared" si="8"/>
        <v>2137</v>
      </c>
      <c r="I26" s="18">
        <f t="shared" si="8"/>
        <v>2924</v>
      </c>
      <c r="J26" s="18">
        <f t="shared" si="8"/>
        <v>3855</v>
      </c>
      <c r="K26" s="18">
        <f t="shared" si="8"/>
        <v>4939</v>
      </c>
      <c r="L26" s="18">
        <f t="shared" si="8"/>
        <v>6183</v>
      </c>
      <c r="M26" s="18">
        <f t="shared" si="8"/>
        <v>7596</v>
      </c>
      <c r="N26" s="18">
        <f t="shared" si="8"/>
        <v>9186</v>
      </c>
      <c r="O26" s="18">
        <f t="shared" si="8"/>
        <v>10961</v>
      </c>
      <c r="P26" s="18">
        <f t="shared" si="8"/>
        <v>12929</v>
      </c>
      <c r="Q26" s="18">
        <f t="shared" si="8"/>
        <v>15097</v>
      </c>
      <c r="R26" s="18">
        <f t="shared" si="8"/>
        <v>17474</v>
      </c>
      <c r="S26" s="18">
        <f t="shared" si="8"/>
        <v>20065</v>
      </c>
      <c r="T26" s="18">
        <f t="shared" si="8"/>
        <v>22880</v>
      </c>
      <c r="U26" s="18">
        <f t="shared" si="8"/>
        <v>25926</v>
      </c>
      <c r="V26" s="18">
        <f t="shared" si="8"/>
        <v>29209</v>
      </c>
      <c r="W26" s="18">
        <f t="shared" si="8"/>
        <v>32737</v>
      </c>
      <c r="X26" s="18">
        <f t="shared" si="8"/>
        <v>36515</v>
      </c>
      <c r="Y26" s="18">
        <f t="shared" si="8"/>
        <v>40550</v>
      </c>
      <c r="Z26" s="18">
        <f t="shared" si="8"/>
        <v>44849</v>
      </c>
      <c r="AA26" s="18">
        <f t="shared" si="8"/>
        <v>49417</v>
      </c>
      <c r="AB26" s="18">
        <f t="shared" si="8"/>
        <v>54260</v>
      </c>
      <c r="AC26" s="18">
        <f t="shared" si="8"/>
        <v>59384</v>
      </c>
      <c r="AD26" s="18">
        <f t="shared" si="8"/>
        <v>64793</v>
      </c>
      <c r="AE26" s="18">
        <f t="shared" si="8"/>
        <v>70494</v>
      </c>
      <c r="AF26" s="18">
        <f t="shared" si="8"/>
        <v>76490</v>
      </c>
      <c r="AG26" s="18">
        <f t="shared" si="8"/>
        <v>82787</v>
      </c>
      <c r="AH26" s="18">
        <f t="shared" si="8"/>
        <v>89386</v>
      </c>
      <c r="AI26" s="18">
        <f t="shared" si="8"/>
        <v>96295</v>
      </c>
      <c r="AJ26" s="18">
        <f t="shared" si="8"/>
        <v>103515</v>
      </c>
      <c r="AK26" s="18">
        <f t="shared" si="8"/>
        <v>111050</v>
      </c>
      <c r="AL26" s="18">
        <f t="shared" si="8"/>
        <v>118905</v>
      </c>
    </row>
    <row r="27" spans="1:38" x14ac:dyDescent="0.2">
      <c r="A27" s="3" t="s">
        <v>171</v>
      </c>
      <c r="B27" s="4"/>
      <c r="C27" s="4"/>
      <c r="D27" s="4"/>
      <c r="E27" s="4"/>
    </row>
    <row r="28" spans="1:38" x14ac:dyDescent="0.2">
      <c r="A28" s="17" t="s">
        <v>172</v>
      </c>
      <c r="B28" s="17" t="s">
        <v>152</v>
      </c>
      <c r="C28" s="18">
        <f t="shared" ref="C28:AL28" si="9">C15+C21+C26</f>
        <v>9639</v>
      </c>
      <c r="D28" s="18">
        <f t="shared" si="9"/>
        <v>20109</v>
      </c>
      <c r="E28" s="18">
        <f t="shared" si="9"/>
        <v>31460</v>
      </c>
      <c r="F28" s="18">
        <f t="shared" si="9"/>
        <v>43737</v>
      </c>
      <c r="G28" s="18">
        <f t="shared" si="9"/>
        <v>56986</v>
      </c>
      <c r="H28" s="18">
        <f t="shared" si="9"/>
        <v>71249</v>
      </c>
      <c r="I28" s="18">
        <f t="shared" si="9"/>
        <v>86565</v>
      </c>
      <c r="J28" s="18">
        <f t="shared" si="9"/>
        <v>102970</v>
      </c>
      <c r="K28" s="18">
        <f t="shared" si="9"/>
        <v>120499</v>
      </c>
      <c r="L28" s="18">
        <f t="shared" si="9"/>
        <v>139183</v>
      </c>
      <c r="M28" s="18">
        <f t="shared" si="9"/>
        <v>159051</v>
      </c>
      <c r="N28" s="18">
        <f t="shared" si="9"/>
        <v>180130</v>
      </c>
      <c r="O28" s="18">
        <f t="shared" si="9"/>
        <v>202443</v>
      </c>
      <c r="P28" s="18">
        <f t="shared" si="9"/>
        <v>226011</v>
      </c>
      <c r="Q28" s="18">
        <f t="shared" si="9"/>
        <v>250853</v>
      </c>
      <c r="R28" s="18">
        <f t="shared" si="9"/>
        <v>276985</v>
      </c>
      <c r="S28" s="18">
        <f t="shared" si="9"/>
        <v>304419</v>
      </c>
      <c r="T28" s="18">
        <f t="shared" si="9"/>
        <v>333168</v>
      </c>
      <c r="U28" s="18">
        <f t="shared" si="9"/>
        <v>363241</v>
      </c>
      <c r="V28" s="18">
        <f t="shared" si="9"/>
        <v>394646</v>
      </c>
      <c r="W28" s="18">
        <f t="shared" si="9"/>
        <v>427387</v>
      </c>
      <c r="X28" s="18">
        <f t="shared" si="9"/>
        <v>461469</v>
      </c>
      <c r="Y28" s="18">
        <f t="shared" si="9"/>
        <v>496893</v>
      </c>
      <c r="Z28" s="18">
        <f t="shared" si="9"/>
        <v>533659</v>
      </c>
      <c r="AA28" s="18">
        <f t="shared" si="9"/>
        <v>571767</v>
      </c>
      <c r="AB28" s="18">
        <f t="shared" si="9"/>
        <v>611214</v>
      </c>
      <c r="AC28" s="18">
        <f t="shared" si="9"/>
        <v>651997</v>
      </c>
      <c r="AD28" s="18">
        <f t="shared" si="9"/>
        <v>694113</v>
      </c>
      <c r="AE28" s="18">
        <f t="shared" si="9"/>
        <v>737557</v>
      </c>
      <c r="AF28" s="18">
        <f t="shared" si="9"/>
        <v>782322</v>
      </c>
      <c r="AG28" s="18">
        <f t="shared" si="9"/>
        <v>828404</v>
      </c>
      <c r="AH28" s="18">
        <f t="shared" si="9"/>
        <v>875794</v>
      </c>
      <c r="AI28" s="18">
        <f t="shared" si="9"/>
        <v>924487</v>
      </c>
      <c r="AJ28" s="18">
        <f t="shared" si="9"/>
        <v>974473</v>
      </c>
      <c r="AK28" s="18">
        <f t="shared" si="9"/>
        <v>1025745</v>
      </c>
      <c r="AL28" s="18">
        <f t="shared" si="9"/>
        <v>1078296</v>
      </c>
    </row>
    <row r="29" spans="1:38" x14ac:dyDescent="0.2">
      <c r="A29" s="17" t="s">
        <v>173</v>
      </c>
      <c r="B29" s="17" t="s">
        <v>152</v>
      </c>
      <c r="C29" s="18">
        <f t="shared" ref="C29:AL29" si="10">C21+C26</f>
        <v>431</v>
      </c>
      <c r="D29" s="18">
        <f t="shared" si="10"/>
        <v>1291</v>
      </c>
      <c r="E29" s="18">
        <f t="shared" si="10"/>
        <v>2581</v>
      </c>
      <c r="F29" s="18">
        <f t="shared" si="10"/>
        <v>4305</v>
      </c>
      <c r="G29" s="18">
        <f t="shared" si="10"/>
        <v>6468</v>
      </c>
      <c r="H29" s="18">
        <f t="shared" si="10"/>
        <v>9077</v>
      </c>
      <c r="I29" s="18">
        <f t="shared" si="10"/>
        <v>12140</v>
      </c>
      <c r="J29" s="18">
        <f t="shared" si="10"/>
        <v>15666</v>
      </c>
      <c r="K29" s="18">
        <f t="shared" si="10"/>
        <v>19665</v>
      </c>
      <c r="L29" s="18">
        <f t="shared" si="10"/>
        <v>24148</v>
      </c>
      <c r="M29" s="18">
        <f t="shared" si="10"/>
        <v>29125</v>
      </c>
      <c r="N29" s="18">
        <f t="shared" si="10"/>
        <v>34609</v>
      </c>
      <c r="O29" s="18">
        <f t="shared" si="10"/>
        <v>40611</v>
      </c>
      <c r="P29" s="18">
        <f t="shared" si="10"/>
        <v>47142</v>
      </c>
      <c r="Q29" s="18">
        <f t="shared" si="10"/>
        <v>54214</v>
      </c>
      <c r="R29" s="18">
        <f t="shared" si="10"/>
        <v>61838</v>
      </c>
      <c r="S29" s="18">
        <f t="shared" si="10"/>
        <v>70023</v>
      </c>
      <c r="T29" s="18">
        <f t="shared" si="10"/>
        <v>78782</v>
      </c>
      <c r="U29" s="18">
        <f t="shared" si="10"/>
        <v>88126</v>
      </c>
      <c r="V29" s="18">
        <f t="shared" si="10"/>
        <v>98062</v>
      </c>
      <c r="W29" s="18">
        <f t="shared" si="10"/>
        <v>108601</v>
      </c>
      <c r="X29" s="18">
        <f t="shared" si="10"/>
        <v>119752</v>
      </c>
      <c r="Y29" s="18">
        <f t="shared" si="10"/>
        <v>131522</v>
      </c>
      <c r="Z29" s="18">
        <f t="shared" si="10"/>
        <v>143918</v>
      </c>
      <c r="AA29" s="18">
        <f t="shared" si="10"/>
        <v>156948</v>
      </c>
      <c r="AB29" s="18">
        <f t="shared" si="10"/>
        <v>170617</v>
      </c>
      <c r="AC29" s="18">
        <f t="shared" si="10"/>
        <v>184931</v>
      </c>
      <c r="AD29" s="18">
        <f t="shared" si="10"/>
        <v>199895</v>
      </c>
      <c r="AE29" s="18">
        <f t="shared" si="10"/>
        <v>215514</v>
      </c>
      <c r="AF29" s="18">
        <f t="shared" si="10"/>
        <v>231791</v>
      </c>
      <c r="AG29" s="18">
        <f t="shared" si="10"/>
        <v>248731</v>
      </c>
      <c r="AH29" s="18">
        <f t="shared" si="10"/>
        <v>266335</v>
      </c>
      <c r="AI29" s="18">
        <f t="shared" si="10"/>
        <v>284607</v>
      </c>
      <c r="AJ29" s="18">
        <f t="shared" si="10"/>
        <v>303547</v>
      </c>
      <c r="AK29" s="18">
        <f t="shared" si="10"/>
        <v>323156</v>
      </c>
      <c r="AL29" s="18">
        <f t="shared" si="10"/>
        <v>343437</v>
      </c>
    </row>
    <row r="30" spans="1:38" x14ac:dyDescent="0.2">
      <c r="A30" s="17" t="s">
        <v>174</v>
      </c>
      <c r="B30" s="17" t="s">
        <v>175</v>
      </c>
      <c r="C30" s="23">
        <f t="shared" ref="C30:AL30" si="11">IF(C28=0,0,C29/C28)</f>
        <v>4.471418196908393E-2</v>
      </c>
      <c r="D30" s="23">
        <f t="shared" si="11"/>
        <v>6.4200109403749567E-2</v>
      </c>
      <c r="E30" s="23">
        <f t="shared" si="11"/>
        <v>8.2040686586141137E-2</v>
      </c>
      <c r="F30" s="23">
        <f t="shared" si="11"/>
        <v>9.8429247547842783E-2</v>
      </c>
      <c r="G30" s="23">
        <f t="shared" si="11"/>
        <v>0.1135015617871056</v>
      </c>
      <c r="H30" s="23">
        <f t="shared" si="11"/>
        <v>0.12739827927409508</v>
      </c>
      <c r="I30" s="23">
        <f t="shared" si="11"/>
        <v>0.14024143707040951</v>
      </c>
      <c r="J30" s="23">
        <f t="shared" si="11"/>
        <v>0.15214140040788579</v>
      </c>
      <c r="K30" s="23">
        <f t="shared" si="11"/>
        <v>0.16319637507365206</v>
      </c>
      <c r="L30" s="23">
        <f t="shared" si="11"/>
        <v>0.17349820021123269</v>
      </c>
      <c r="M30" s="23">
        <f t="shared" si="11"/>
        <v>0.18311736487038749</v>
      </c>
      <c r="N30" s="23">
        <f t="shared" si="11"/>
        <v>0.1921334591683784</v>
      </c>
      <c r="O30" s="23">
        <f t="shared" si="11"/>
        <v>0.20060461463226686</v>
      </c>
      <c r="P30" s="23">
        <f t="shared" si="11"/>
        <v>0.2085827680953582</v>
      </c>
      <c r="Q30" s="23">
        <f t="shared" si="11"/>
        <v>0.21611860332545355</v>
      </c>
      <c r="R30" s="23">
        <f t="shared" si="11"/>
        <v>0.22325396682130802</v>
      </c>
      <c r="S30" s="23">
        <f t="shared" si="11"/>
        <v>0.23002177919249456</v>
      </c>
      <c r="T30" s="23">
        <f t="shared" si="11"/>
        <v>0.2364632857897517</v>
      </c>
      <c r="U30" s="23">
        <f t="shared" si="11"/>
        <v>0.24261027802478244</v>
      </c>
      <c r="V30" s="23">
        <f t="shared" si="11"/>
        <v>0.24848091707504955</v>
      </c>
      <c r="W30" s="23">
        <f t="shared" si="11"/>
        <v>0.25410459372886868</v>
      </c>
      <c r="X30" s="23">
        <f t="shared" si="11"/>
        <v>0.2595017216757789</v>
      </c>
      <c r="Y30" s="23">
        <f t="shared" si="11"/>
        <v>0.26468877605440205</v>
      </c>
      <c r="Z30" s="23">
        <f t="shared" si="11"/>
        <v>0.26968157568784562</v>
      </c>
      <c r="AA30" s="23">
        <f t="shared" si="11"/>
        <v>0.27449642948963476</v>
      </c>
      <c r="AB30" s="23">
        <f t="shared" si="11"/>
        <v>0.27914445676964206</v>
      </c>
      <c r="AC30" s="23">
        <f t="shared" si="11"/>
        <v>0.28363780814942402</v>
      </c>
      <c r="AD30" s="23">
        <f t="shared" si="11"/>
        <v>0.28798625007743694</v>
      </c>
      <c r="AE30" s="23">
        <f t="shared" si="11"/>
        <v>0.29219978930441987</v>
      </c>
      <c r="AF30" s="23">
        <f t="shared" si="11"/>
        <v>0.296285928300623</v>
      </c>
      <c r="AG30" s="23">
        <f t="shared" si="11"/>
        <v>0.30025325807214837</v>
      </c>
      <c r="AH30" s="23">
        <f t="shared" si="11"/>
        <v>0.30410690185134859</v>
      </c>
      <c r="AI30" s="23">
        <f t="shared" si="11"/>
        <v>0.30785397739503095</v>
      </c>
      <c r="AJ30" s="23">
        <f t="shared" si="11"/>
        <v>0.31149862541086309</v>
      </c>
      <c r="AK30" s="23">
        <f t="shared" si="11"/>
        <v>0.31504516229667218</v>
      </c>
      <c r="AL30" s="23">
        <f t="shared" si="11"/>
        <v>0.31849974404059739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B5CF6"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 activeCell="D22" sqref="D22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176</v>
      </c>
    </row>
    <row r="2" spans="1:38" x14ac:dyDescent="0.2">
      <c r="A2" s="2" t="s">
        <v>177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178</v>
      </c>
      <c r="B5" s="4"/>
      <c r="C5" s="4"/>
      <c r="D5" s="4"/>
      <c r="E5" s="4"/>
    </row>
    <row r="6" spans="1:38" x14ac:dyDescent="0.2">
      <c r="A6" s="6" t="s">
        <v>179</v>
      </c>
      <c r="B6" s="6" t="s">
        <v>180</v>
      </c>
      <c r="C6" s="24">
        <f>'User Growth'!C21*Assumptions!$B$28</f>
        <v>2548.7300999999998</v>
      </c>
      <c r="D6" s="24">
        <f>'User Growth'!D21*Assumptions!$B$28</f>
        <v>7557.0218999999997</v>
      </c>
      <c r="E6" s="24">
        <f>'User Growth'!E21*Assumptions!$B$28</f>
        <v>14995.152599999999</v>
      </c>
      <c r="F6" s="24">
        <f>'User Growth'!F21*Assumptions!$B$28</f>
        <v>24818.538</v>
      </c>
      <c r="G6" s="24">
        <f>'User Growth'!G21*Assumptions!$B$28</f>
        <v>37012.316699999996</v>
      </c>
      <c r="H6" s="24">
        <f>'User Growth'!H21*Assumptions!$B$28</f>
        <v>51569.057999999997</v>
      </c>
      <c r="I6" s="24">
        <f>'User Growth'!I21*Assumptions!$B$28</f>
        <v>68481.331200000001</v>
      </c>
      <c r="J6" s="24">
        <f>'User Growth'!J21*Assumptions!$B$28</f>
        <v>87763.997699999993</v>
      </c>
      <c r="K6" s="24">
        <f>'User Growth'!K21*Assumptions!$B$28</f>
        <v>109424.48819999999</v>
      </c>
      <c r="L6" s="24">
        <f>'User Growth'!L21*Assumptions!$B$28</f>
        <v>133492.52549999999</v>
      </c>
      <c r="M6" s="24">
        <f>'User Growth'!M21*Assumptions!$B$28</f>
        <v>159975.54029999999</v>
      </c>
      <c r="N6" s="24">
        <f>'User Growth'!N21*Assumptions!$B$28</f>
        <v>188910.68609999999</v>
      </c>
      <c r="O6" s="24">
        <f>'User Growth'!O21*Assumptions!$B$28</f>
        <v>220320.255</v>
      </c>
      <c r="P6" s="24">
        <f>'User Growth'!P21*Assumptions!$B$28</f>
        <v>254226.53909999999</v>
      </c>
      <c r="Q6" s="24">
        <f>'User Growth'!Q21*Assumptions!$B$28</f>
        <v>290666.69189999998</v>
      </c>
      <c r="R6" s="24">
        <f>'User Growth'!R21*Assumptions!$B$28</f>
        <v>329655.5748</v>
      </c>
      <c r="S6" s="24">
        <f>'User Growth'!S21*Assumptions!$B$28</f>
        <v>371222.9106</v>
      </c>
      <c r="T6" s="24">
        <f>'User Growth'!T21*Assumptions!$B$28</f>
        <v>415390.9914</v>
      </c>
      <c r="U6" s="24">
        <f>'User Growth'!U21*Assumptions!$B$28</f>
        <v>462189.54</v>
      </c>
      <c r="V6" s="24">
        <f>'User Growth'!V21*Assumptions!$B$28</f>
        <v>511625.98709999997</v>
      </c>
      <c r="W6" s="24">
        <f>'User Growth'!W21*Assumptions!$B$28</f>
        <v>563722.62479999999</v>
      </c>
      <c r="X6" s="24">
        <f>'User Growth'!X21*Assumptions!$B$28</f>
        <v>618509.17590000003</v>
      </c>
      <c r="Y6" s="24">
        <f>'User Growth'!Y21*Assumptions!$B$28</f>
        <v>675985.64040000003</v>
      </c>
      <c r="Z6" s="24">
        <f>'User Growth'!Z21*Assumptions!$B$28</f>
        <v>736152.0183</v>
      </c>
      <c r="AA6" s="24">
        <f>'User Growth'!AA21*Assumptions!$B$28</f>
        <v>799030.6017</v>
      </c>
      <c r="AB6" s="24">
        <f>'User Growth'!AB21*Assumptions!$B$28</f>
        <v>864613.95990000002</v>
      </c>
      <c r="AC6" s="24">
        <f>'User Growth'!AC21*Assumptions!$B$28</f>
        <v>932902.09289999993</v>
      </c>
      <c r="AD6" s="24">
        <f>'User Growth'!AD21*Assumptions!$B$28</f>
        <v>1003902.4314</v>
      </c>
      <c r="AE6" s="24">
        <f>'User Growth'!AE21*Assumptions!$B$28</f>
        <v>1077600.1140000001</v>
      </c>
      <c r="AF6" s="24">
        <f>'User Growth'!AF21*Assumptions!$B$28</f>
        <v>1153995.1406999999</v>
      </c>
      <c r="AG6" s="24">
        <f>'User Growth'!AG21*Assumptions!$B$28</f>
        <v>1233080.0807999999</v>
      </c>
      <c r="AH6" s="24">
        <f>'User Growth'!AH21*Assumptions!$B$28</f>
        <v>1314854.9343000001</v>
      </c>
      <c r="AI6" s="24">
        <f>'User Growth'!AI21*Assumptions!$B$28</f>
        <v>1399289.9783999999</v>
      </c>
      <c r="AJ6" s="24">
        <f>'User Growth'!AJ21*Assumptions!$B$28</f>
        <v>1486377.7823999999</v>
      </c>
      <c r="AK6" s="24">
        <f>'User Growth'!AK21*Assumptions!$B$28</f>
        <v>1576096.0541999999</v>
      </c>
      <c r="AL6" s="24">
        <f>'User Growth'!AL21*Assumptions!$B$28</f>
        <v>1668429.9324</v>
      </c>
    </row>
    <row r="7" spans="1:38" x14ac:dyDescent="0.2">
      <c r="A7" s="6" t="s">
        <v>181</v>
      </c>
      <c r="B7" s="6" t="s">
        <v>180</v>
      </c>
      <c r="C7" s="24">
        <f>'User Growth'!C26*Assumptions!$B$29</f>
        <v>1635.9815999999998</v>
      </c>
      <c r="D7" s="24">
        <f>'User Growth'!D26*Assumptions!$B$29</f>
        <v>5093.8517999999995</v>
      </c>
      <c r="E7" s="24">
        <f>'User Growth'!E26*Assumptions!$B$29</f>
        <v>10466.5641</v>
      </c>
      <c r="F7" s="24">
        <f>'User Growth'!F26*Assumptions!$B$29</f>
        <v>17940.0255</v>
      </c>
      <c r="G7" s="24">
        <f>'User Growth'!G26*Assumptions!$B$29</f>
        <v>27644.370899999998</v>
      </c>
      <c r="H7" s="24">
        <f>'User Growth'!H26*Assumptions!$B$29</f>
        <v>39728.325899999996</v>
      </c>
      <c r="I7" s="24">
        <f>'User Growth'!I26*Assumptions!$B$29</f>
        <v>54359.206799999993</v>
      </c>
      <c r="J7" s="24">
        <f>'User Growth'!J26*Assumptions!$B$29</f>
        <v>71667.148499999996</v>
      </c>
      <c r="K7" s="24">
        <f>'User Growth'!K26*Assumptions!$B$29</f>
        <v>91819.467299999989</v>
      </c>
      <c r="L7" s="24">
        <f>'User Growth'!L26*Assumptions!$B$29</f>
        <v>114946.29809999999</v>
      </c>
      <c r="M7" s="24">
        <f>'User Growth'!M26*Assumptions!$B$29</f>
        <v>141214.95719999998</v>
      </c>
      <c r="N7" s="24">
        <f>'User Growth'!N26*Assumptions!$B$29</f>
        <v>170774.17019999999</v>
      </c>
      <c r="O7" s="24">
        <f>'User Growth'!O26*Assumptions!$B$29</f>
        <v>203772.66269999999</v>
      </c>
      <c r="P7" s="24">
        <f>'User Growth'!P26*Assumptions!$B$29</f>
        <v>240359.16029999999</v>
      </c>
      <c r="Q7" s="24">
        <f>'User Growth'!Q26*Assumptions!$B$29</f>
        <v>280663.79789999995</v>
      </c>
      <c r="R7" s="24">
        <f>'User Growth'!R26*Assumptions!$B$29</f>
        <v>324853.89179999998</v>
      </c>
      <c r="S7" s="24">
        <f>'User Growth'!S26*Assumptions!$B$29</f>
        <v>373022.39549999998</v>
      </c>
      <c r="T7" s="24">
        <f>'User Growth'!T26*Assumptions!$B$29</f>
        <v>425355.21599999996</v>
      </c>
      <c r="U7" s="24">
        <f>'User Growth'!U26*Assumptions!$B$29</f>
        <v>481982.48819999996</v>
      </c>
      <c r="V7" s="24">
        <f>'User Growth'!V26*Assumptions!$B$29</f>
        <v>543015.75629999989</v>
      </c>
      <c r="W7" s="24">
        <f>'User Growth'!W26*Assumptions!$B$29</f>
        <v>608603.74589999998</v>
      </c>
      <c r="X7" s="24">
        <f>'User Growth'!X26*Assumptions!$B$29</f>
        <v>678839.41049999988</v>
      </c>
      <c r="Y7" s="24">
        <f>'User Growth'!Y26*Assumptions!$B$29</f>
        <v>753852.88499999989</v>
      </c>
      <c r="Z7" s="24">
        <f>'User Growth'!Z26*Assumptions!$B$29</f>
        <v>833774.30429999996</v>
      </c>
      <c r="AA7" s="24">
        <f>'User Growth'!AA26*Assumptions!$B$29</f>
        <v>918696.62189999991</v>
      </c>
      <c r="AB7" s="24">
        <f>'User Growth'!AB26*Assumptions!$B$29</f>
        <v>1008731.3819999999</v>
      </c>
      <c r="AC7" s="24">
        <f>'User Growth'!AC26*Assumptions!$B$29</f>
        <v>1103990.1287999998</v>
      </c>
      <c r="AD7" s="24">
        <f>'User Growth'!AD26*Assumptions!$B$29</f>
        <v>1204547.2250999999</v>
      </c>
      <c r="AE7" s="24">
        <f>'User Growth'!AE26*Assumptions!$B$29</f>
        <v>1310532.8058</v>
      </c>
      <c r="AF7" s="24">
        <f>'User Growth'!AF26*Assumptions!$B$29</f>
        <v>1422002.6429999999</v>
      </c>
      <c r="AG7" s="24">
        <f>'User Growth'!AG26*Assumptions!$B$29</f>
        <v>1539068.2808999999</v>
      </c>
      <c r="AH7" s="24">
        <f>'User Growth'!AH26*Assumptions!$B$29</f>
        <v>1661748.3101999999</v>
      </c>
      <c r="AI7" s="24">
        <f>'User Growth'!AI26*Assumptions!$B$29</f>
        <v>1790191.4564999999</v>
      </c>
      <c r="AJ7" s="24">
        <f>'User Growth'!AJ26*Assumptions!$B$29</f>
        <v>1924416.3104999999</v>
      </c>
      <c r="AK7" s="24">
        <f>'User Growth'!AK26*Assumptions!$B$29</f>
        <v>2064497.2349999999</v>
      </c>
      <c r="AL7" s="24">
        <f>'User Growth'!AL26*Assumptions!$B$29</f>
        <v>2210527.1834999998</v>
      </c>
    </row>
    <row r="8" spans="1:38" x14ac:dyDescent="0.2">
      <c r="A8" s="17" t="s">
        <v>182</v>
      </c>
      <c r="B8" s="17" t="s">
        <v>180</v>
      </c>
      <c r="C8" s="25">
        <f t="shared" ref="C8:AL8" si="0">C6+C7</f>
        <v>4184.7116999999998</v>
      </c>
      <c r="D8" s="25">
        <f t="shared" si="0"/>
        <v>12650.8737</v>
      </c>
      <c r="E8" s="25">
        <f t="shared" si="0"/>
        <v>25461.716699999997</v>
      </c>
      <c r="F8" s="25">
        <f t="shared" si="0"/>
        <v>42758.563500000004</v>
      </c>
      <c r="G8" s="25">
        <f t="shared" si="0"/>
        <v>64656.68759999999</v>
      </c>
      <c r="H8" s="25">
        <f t="shared" si="0"/>
        <v>91297.383899999986</v>
      </c>
      <c r="I8" s="25">
        <f t="shared" si="0"/>
        <v>122840.538</v>
      </c>
      <c r="J8" s="25">
        <f t="shared" si="0"/>
        <v>159431.14619999999</v>
      </c>
      <c r="K8" s="25">
        <f t="shared" si="0"/>
        <v>201243.95549999998</v>
      </c>
      <c r="L8" s="25">
        <f t="shared" si="0"/>
        <v>248438.82359999997</v>
      </c>
      <c r="M8" s="25">
        <f t="shared" si="0"/>
        <v>301190.49749999994</v>
      </c>
      <c r="N8" s="25">
        <f t="shared" si="0"/>
        <v>359684.85629999998</v>
      </c>
      <c r="O8" s="25">
        <f t="shared" si="0"/>
        <v>424092.91769999999</v>
      </c>
      <c r="P8" s="25">
        <f t="shared" si="0"/>
        <v>494585.69939999998</v>
      </c>
      <c r="Q8" s="25">
        <f t="shared" si="0"/>
        <v>571330.48979999986</v>
      </c>
      <c r="R8" s="25">
        <f t="shared" si="0"/>
        <v>654509.46659999993</v>
      </c>
      <c r="S8" s="25">
        <f t="shared" si="0"/>
        <v>744245.30609999993</v>
      </c>
      <c r="T8" s="25">
        <f t="shared" si="0"/>
        <v>840746.20739999996</v>
      </c>
      <c r="U8" s="25">
        <f t="shared" si="0"/>
        <v>944172.02819999994</v>
      </c>
      <c r="V8" s="25">
        <f t="shared" si="0"/>
        <v>1054641.7433999998</v>
      </c>
      <c r="W8" s="25">
        <f t="shared" si="0"/>
        <v>1172326.3706999999</v>
      </c>
      <c r="X8" s="25">
        <f t="shared" si="0"/>
        <v>1297348.5863999999</v>
      </c>
      <c r="Y8" s="25">
        <f t="shared" si="0"/>
        <v>1429838.5253999999</v>
      </c>
      <c r="Z8" s="25">
        <f t="shared" si="0"/>
        <v>1569926.3226000001</v>
      </c>
      <c r="AA8" s="25">
        <f t="shared" si="0"/>
        <v>1717727.2235999999</v>
      </c>
      <c r="AB8" s="25">
        <f t="shared" si="0"/>
        <v>1873345.3418999999</v>
      </c>
      <c r="AC8" s="25">
        <f t="shared" si="0"/>
        <v>2036892.2216999996</v>
      </c>
      <c r="AD8" s="25">
        <f t="shared" si="0"/>
        <v>2208449.6565</v>
      </c>
      <c r="AE8" s="25">
        <f t="shared" si="0"/>
        <v>2388132.9198000003</v>
      </c>
      <c r="AF8" s="25">
        <f t="shared" si="0"/>
        <v>2575997.7836999996</v>
      </c>
      <c r="AG8" s="25">
        <f t="shared" si="0"/>
        <v>2772148.3616999998</v>
      </c>
      <c r="AH8" s="25">
        <f t="shared" si="0"/>
        <v>2976603.2445</v>
      </c>
      <c r="AI8" s="25">
        <f t="shared" si="0"/>
        <v>3189481.4348999998</v>
      </c>
      <c r="AJ8" s="25">
        <f t="shared" si="0"/>
        <v>3410794.0928999996</v>
      </c>
      <c r="AK8" s="25">
        <f t="shared" si="0"/>
        <v>3640593.2891999995</v>
      </c>
      <c r="AL8" s="25">
        <f t="shared" si="0"/>
        <v>3878957.1158999996</v>
      </c>
    </row>
    <row r="9" spans="1:38" x14ac:dyDescent="0.2">
      <c r="A9" s="17" t="s">
        <v>183</v>
      </c>
      <c r="B9" s="17" t="s">
        <v>180</v>
      </c>
      <c r="C9" s="25">
        <f t="shared" ref="C9:AL9" si="1">C8*12</f>
        <v>50216.540399999998</v>
      </c>
      <c r="D9" s="25">
        <f t="shared" si="1"/>
        <v>151810.48440000002</v>
      </c>
      <c r="E9" s="25">
        <f t="shared" si="1"/>
        <v>305540.6004</v>
      </c>
      <c r="F9" s="25">
        <f t="shared" si="1"/>
        <v>513102.76200000005</v>
      </c>
      <c r="G9" s="25">
        <f t="shared" si="1"/>
        <v>775880.25119999982</v>
      </c>
      <c r="H9" s="25">
        <f t="shared" si="1"/>
        <v>1095568.6067999997</v>
      </c>
      <c r="I9" s="25">
        <f t="shared" si="1"/>
        <v>1474086.456</v>
      </c>
      <c r="J9" s="25">
        <f t="shared" si="1"/>
        <v>1913173.7544</v>
      </c>
      <c r="K9" s="25">
        <f t="shared" si="1"/>
        <v>2414927.466</v>
      </c>
      <c r="L9" s="25">
        <f t="shared" si="1"/>
        <v>2981265.8831999996</v>
      </c>
      <c r="M9" s="25">
        <f t="shared" si="1"/>
        <v>3614285.9699999993</v>
      </c>
      <c r="N9" s="25">
        <f t="shared" si="1"/>
        <v>4316218.2755999994</v>
      </c>
      <c r="O9" s="25">
        <f t="shared" si="1"/>
        <v>5089115.0123999994</v>
      </c>
      <c r="P9" s="25">
        <f t="shared" si="1"/>
        <v>5935028.3927999996</v>
      </c>
      <c r="Q9" s="25">
        <f t="shared" si="1"/>
        <v>6855965.8775999984</v>
      </c>
      <c r="R9" s="25">
        <f t="shared" si="1"/>
        <v>7854113.5991999991</v>
      </c>
      <c r="S9" s="25">
        <f t="shared" si="1"/>
        <v>8930943.6732000001</v>
      </c>
      <c r="T9" s="25">
        <f t="shared" si="1"/>
        <v>10088954.4888</v>
      </c>
      <c r="U9" s="25">
        <f t="shared" si="1"/>
        <v>11330064.338399999</v>
      </c>
      <c r="V9" s="25">
        <f t="shared" si="1"/>
        <v>12655700.920799997</v>
      </c>
      <c r="W9" s="25">
        <f t="shared" si="1"/>
        <v>14067916.448399998</v>
      </c>
      <c r="X9" s="25">
        <f t="shared" si="1"/>
        <v>15568183.036799999</v>
      </c>
      <c r="Y9" s="25">
        <f t="shared" si="1"/>
        <v>17158062.3048</v>
      </c>
      <c r="Z9" s="25">
        <f t="shared" si="1"/>
        <v>18839115.871200003</v>
      </c>
      <c r="AA9" s="25">
        <f t="shared" si="1"/>
        <v>20612726.683199998</v>
      </c>
      <c r="AB9" s="25">
        <f t="shared" si="1"/>
        <v>22480144.102799997</v>
      </c>
      <c r="AC9" s="25">
        <f t="shared" si="1"/>
        <v>24442706.660399996</v>
      </c>
      <c r="AD9" s="25">
        <f t="shared" si="1"/>
        <v>26501395.877999999</v>
      </c>
      <c r="AE9" s="25">
        <f t="shared" si="1"/>
        <v>28657595.037600003</v>
      </c>
      <c r="AF9" s="25">
        <f t="shared" si="1"/>
        <v>30911973.404399995</v>
      </c>
      <c r="AG9" s="25">
        <f t="shared" si="1"/>
        <v>33265780.340399995</v>
      </c>
      <c r="AH9" s="25">
        <f t="shared" si="1"/>
        <v>35719238.934</v>
      </c>
      <c r="AI9" s="25">
        <f t="shared" si="1"/>
        <v>38273777.218799993</v>
      </c>
      <c r="AJ9" s="25">
        <f t="shared" si="1"/>
        <v>40929529.114799991</v>
      </c>
      <c r="AK9" s="25">
        <f t="shared" si="1"/>
        <v>43687119.470399991</v>
      </c>
      <c r="AL9" s="25">
        <f t="shared" si="1"/>
        <v>46547485.390799999</v>
      </c>
    </row>
    <row r="10" spans="1:38" x14ac:dyDescent="0.2">
      <c r="A10" s="3" t="s">
        <v>184</v>
      </c>
      <c r="B10" s="4"/>
      <c r="C10" s="4"/>
      <c r="D10" s="4"/>
      <c r="E10" s="4"/>
    </row>
    <row r="11" spans="1:38" x14ac:dyDescent="0.2">
      <c r="A11" s="6" t="s">
        <v>185</v>
      </c>
      <c r="B11" s="6" t="s">
        <v>180</v>
      </c>
      <c r="C11" s="24">
        <f>'User Growth'!C12*Assumptions!$B$28 + 'User Growth'!C13*Assumptions!$B$29</f>
        <v>4296.1163999999999</v>
      </c>
      <c r="D11" s="24">
        <f>'User Growth'!D12*Assumptions!$B$28 + 'User Growth'!D13*Assumptions!$B$29</f>
        <v>8778.0560999999998</v>
      </c>
      <c r="E11" s="24">
        <f>'User Growth'!E12*Assumptions!$B$28 + 'User Growth'!E13*Assumptions!$B$29</f>
        <v>13456.9512</v>
      </c>
      <c r="F11" s="24">
        <f>'User Growth'!F12*Assumptions!$B$28 + 'User Growth'!F13*Assumptions!$B$29</f>
        <v>18388.573799999998</v>
      </c>
      <c r="G11" s="24">
        <f>'User Growth'!G12*Assumptions!$B$28 + 'User Growth'!G13*Assumptions!$B$29</f>
        <v>23550.603899999998</v>
      </c>
      <c r="H11" s="24">
        <f>'User Growth'!H12*Assumptions!$B$28 + 'User Growth'!H13*Assumptions!$B$29</f>
        <v>28976.493599999998</v>
      </c>
      <c r="I11" s="24">
        <f>'User Growth'!I12*Assumptions!$B$28 + 'User Growth'!I13*Assumptions!$B$29</f>
        <v>34692.264299999995</v>
      </c>
      <c r="J11" s="24">
        <f>'User Growth'!J12*Assumptions!$B$28 + 'User Growth'!J13*Assumptions!$B$29</f>
        <v>40686.755999999994</v>
      </c>
      <c r="K11" s="24">
        <f>'User Growth'!K12*Assumptions!$B$28 + 'User Growth'!K13*Assumptions!$B$29</f>
        <v>47004.580799999996</v>
      </c>
      <c r="L11" s="24">
        <f>'User Growth'!L12*Assumptions!$B$28 + 'User Growth'!L13*Assumptions!$B$29</f>
        <v>53615.987999999998</v>
      </c>
      <c r="M11" s="24">
        <f>'User Growth'!M12*Assumptions!$B$28 + 'User Growth'!M13*Assumptions!$B$29</f>
        <v>60558.159</v>
      </c>
      <c r="N11" s="24">
        <f>'User Growth'!N12*Assumptions!$B$28 + 'User Growth'!N13*Assumptions!$B$29</f>
        <v>67827.364499999996</v>
      </c>
      <c r="O11" s="24">
        <f>'User Growth'!O12*Assumptions!$B$28 + 'User Growth'!O13*Assumptions!$B$29</f>
        <v>75434.76449999999</v>
      </c>
      <c r="P11" s="24">
        <f>'User Growth'!P12*Assumptions!$B$28 + 'User Growth'!P13*Assumptions!$B$29</f>
        <v>83380.358999999997</v>
      </c>
      <c r="Q11" s="24">
        <f>'User Growth'!Q12*Assumptions!$B$28 + 'User Growth'!Q13*Assumptions!$B$29</f>
        <v>91667.849400000006</v>
      </c>
      <c r="R11" s="24">
        <f>'User Growth'!R12*Assumptions!$B$28 + 'User Growth'!R13*Assumptions!$B$29</f>
        <v>100293.5343</v>
      </c>
      <c r="S11" s="24">
        <f>'User Growth'!S12*Assumptions!$B$28 + 'User Growth'!S13*Assumptions!$B$29</f>
        <v>109253.6844</v>
      </c>
      <c r="T11" s="24">
        <f>'User Growth'!T12*Assumptions!$B$28 + 'User Growth'!T13*Assumptions!$B$29</f>
        <v>118585.4811</v>
      </c>
      <c r="U11" s="24">
        <f>'User Growth'!U12*Assumptions!$B$28 + 'User Growth'!U13*Assumptions!$B$29</f>
        <v>128251.74299999999</v>
      </c>
      <c r="V11" s="24">
        <f>'User Growth'!V12*Assumptions!$B$28 + 'User Growth'!V13*Assumptions!$B$29</f>
        <v>138237.60869999998</v>
      </c>
      <c r="W11" s="24">
        <f>'User Growth'!W12*Assumptions!$B$28 + 'User Growth'!W13*Assumptions!$B$29</f>
        <v>148595.12099999998</v>
      </c>
      <c r="X11" s="24">
        <f>'User Growth'!X12*Assumptions!$B$28 + 'User Growth'!X13*Assumptions!$B$29</f>
        <v>159287.09849999999</v>
      </c>
      <c r="Y11" s="24">
        <f>'User Growth'!Y12*Assumptions!$B$28 + 'User Growth'!Y13*Assumptions!$B$29</f>
        <v>170317.27049999998</v>
      </c>
      <c r="Z11" s="24">
        <f>'User Growth'!Z12*Assumptions!$B$28 + 'User Growth'!Z13*Assumptions!$B$29</f>
        <v>181667.04629999999</v>
      </c>
      <c r="AA11" s="24">
        <f>'User Growth'!AA12*Assumptions!$B$28 + 'User Growth'!AA13*Assumptions!$B$29</f>
        <v>193362.4473</v>
      </c>
      <c r="AB11" s="24">
        <f>'User Growth'!AB12*Assumptions!$B$28 + 'User Growth'!AB13*Assumptions!$B$29</f>
        <v>205377.45209999999</v>
      </c>
      <c r="AC11" s="24">
        <f>'User Growth'!AC12*Assumptions!$B$28 + 'User Growth'!AC13*Assumptions!$B$29</f>
        <v>217723.22070000001</v>
      </c>
      <c r="AD11" s="24">
        <f>'User Growth'!AD12*Assumptions!$B$28 + 'User Growth'!AD13*Assumptions!$B$29</f>
        <v>230370.0024</v>
      </c>
      <c r="AE11" s="24">
        <f>'User Growth'!AE12*Assumptions!$B$28 + 'User Growth'!AE13*Assumptions!$B$29</f>
        <v>243340.11719999998</v>
      </c>
      <c r="AF11" s="24">
        <f>'User Growth'!AF12*Assumptions!$B$28 + 'User Growth'!AF13*Assumptions!$B$29</f>
        <v>256622.40509999997</v>
      </c>
      <c r="AG11" s="24">
        <f>'User Growth'!AG12*Assumptions!$B$28 + 'User Growth'!AG13*Assumptions!$B$29</f>
        <v>270209.43539999996</v>
      </c>
      <c r="AH11" s="24">
        <f>'User Growth'!AH12*Assumptions!$B$28 + 'User Growth'!AH13*Assumptions!$B$29</f>
        <v>284082.61739999999</v>
      </c>
      <c r="AI11" s="24">
        <f>'User Growth'!AI12*Assumptions!$B$28 + 'User Growth'!AI13*Assumptions!$B$29</f>
        <v>298271.70179999998</v>
      </c>
      <c r="AJ11" s="24">
        <f>'User Growth'!AJ12*Assumptions!$B$28 + 'User Growth'!AJ13*Assumptions!$B$29</f>
        <v>312739.50719999999</v>
      </c>
      <c r="AK11" s="24">
        <f>'User Growth'!AK12*Assumptions!$B$28 + 'User Growth'!AK13*Assumptions!$B$29</f>
        <v>327497.1936</v>
      </c>
      <c r="AL11" s="24">
        <f>'User Growth'!AL12*Assumptions!$B$28 + 'User Growth'!AL13*Assumptions!$B$29</f>
        <v>342533.60099999997</v>
      </c>
    </row>
    <row r="12" spans="1:38" x14ac:dyDescent="0.2">
      <c r="A12" s="6" t="s">
        <v>186</v>
      </c>
      <c r="B12" s="6" t="s">
        <v>180</v>
      </c>
      <c r="C12" s="24">
        <f>'User Growth'!C19*(Assumptions!$B$29-Assumptions!$B$28)</f>
        <v>78.11999999999999</v>
      </c>
      <c r="D12" s="24">
        <f>'User Growth'!D19*(Assumptions!$B$29-Assumptions!$B$28)</f>
        <v>245.51999999999995</v>
      </c>
      <c r="E12" s="24">
        <f>'User Growth'!E19*(Assumptions!$B$29-Assumptions!$B$28)</f>
        <v>479.87999999999994</v>
      </c>
      <c r="F12" s="24">
        <f>'User Growth'!F19*(Assumptions!$B$29-Assumptions!$B$28)</f>
        <v>803.51999999999987</v>
      </c>
      <c r="G12" s="24">
        <f>'User Growth'!G19*(Assumptions!$B$29-Assumptions!$B$28)</f>
        <v>1194.1199999999999</v>
      </c>
      <c r="H12" s="24">
        <f>'User Growth'!H19*(Assumptions!$B$29-Assumptions!$B$28)</f>
        <v>1662.8399999999997</v>
      </c>
      <c r="I12" s="24">
        <f>'User Growth'!I19*(Assumptions!$B$29-Assumptions!$B$28)</f>
        <v>2209.6799999999998</v>
      </c>
      <c r="J12" s="24">
        <f>'User Growth'!J19*(Assumptions!$B$29-Assumptions!$B$28)</f>
        <v>2834.6399999999994</v>
      </c>
      <c r="K12" s="24">
        <f>'User Growth'!K19*(Assumptions!$B$29-Assumptions!$B$28)</f>
        <v>3537.7199999999993</v>
      </c>
      <c r="L12" s="24">
        <f>'User Growth'!L19*(Assumptions!$B$29-Assumptions!$B$28)</f>
        <v>4307.7599999999993</v>
      </c>
      <c r="M12" s="24">
        <f>'User Growth'!M19*(Assumptions!$B$29-Assumptions!$B$28)</f>
        <v>5167.079999999999</v>
      </c>
      <c r="N12" s="24">
        <f>'User Growth'!N19*(Assumptions!$B$29-Assumptions!$B$28)</f>
        <v>6104.5199999999995</v>
      </c>
      <c r="O12" s="24">
        <f>'User Growth'!O19*(Assumptions!$B$29-Assumptions!$B$28)</f>
        <v>7120.079999999999</v>
      </c>
      <c r="P12" s="24">
        <f>'User Growth'!P19*(Assumptions!$B$29-Assumptions!$B$28)</f>
        <v>8213.7599999999984</v>
      </c>
      <c r="Q12" s="24">
        <f>'User Growth'!Q19*(Assumptions!$B$29-Assumptions!$B$28)</f>
        <v>9385.56</v>
      </c>
      <c r="R12" s="24">
        <f>'User Growth'!R19*(Assumptions!$B$29-Assumptions!$B$28)</f>
        <v>10646.639999999998</v>
      </c>
      <c r="S12" s="24">
        <f>'User Growth'!S19*(Assumptions!$B$29-Assumptions!$B$28)</f>
        <v>11985.839999999998</v>
      </c>
      <c r="T12" s="24">
        <f>'User Growth'!T19*(Assumptions!$B$29-Assumptions!$B$28)</f>
        <v>13414.319999999998</v>
      </c>
      <c r="U12" s="24">
        <f>'User Growth'!U19*(Assumptions!$B$29-Assumptions!$B$28)</f>
        <v>14932.079999999998</v>
      </c>
      <c r="V12" s="24">
        <f>'User Growth'!V19*(Assumptions!$B$29-Assumptions!$B$28)</f>
        <v>16527.96</v>
      </c>
      <c r="W12" s="24">
        <f>'User Growth'!W19*(Assumptions!$B$29-Assumptions!$B$28)</f>
        <v>18213.12</v>
      </c>
      <c r="X12" s="24">
        <f>'User Growth'!X19*(Assumptions!$B$29-Assumptions!$B$28)</f>
        <v>19976.399999999998</v>
      </c>
      <c r="Y12" s="24">
        <f>'User Growth'!Y19*(Assumptions!$B$29-Assumptions!$B$28)</f>
        <v>21828.959999999995</v>
      </c>
      <c r="Z12" s="24">
        <f>'User Growth'!Z19*(Assumptions!$B$29-Assumptions!$B$28)</f>
        <v>23781.959999999995</v>
      </c>
      <c r="AA12" s="24">
        <f>'User Growth'!AA19*(Assumptions!$B$29-Assumptions!$B$28)</f>
        <v>25801.919999999995</v>
      </c>
      <c r="AB12" s="24">
        <f>'User Growth'!AB19*(Assumptions!$B$29-Assumptions!$B$28)</f>
        <v>27922.319999999996</v>
      </c>
      <c r="AC12" s="24">
        <f>'User Growth'!AC19*(Assumptions!$B$29-Assumptions!$B$28)</f>
        <v>30131.999999999996</v>
      </c>
      <c r="AD12" s="24">
        <f>'User Growth'!AD19*(Assumptions!$B$29-Assumptions!$B$28)</f>
        <v>32419.799999999996</v>
      </c>
      <c r="AE12" s="24">
        <f>'User Growth'!AE19*(Assumptions!$B$29-Assumptions!$B$28)</f>
        <v>34808.039999999994</v>
      </c>
      <c r="AF12" s="24">
        <f>'User Growth'!AF19*(Assumptions!$B$29-Assumptions!$B$28)</f>
        <v>37274.399999999994</v>
      </c>
      <c r="AG12" s="24">
        <f>'User Growth'!AG19*(Assumptions!$B$29-Assumptions!$B$28)</f>
        <v>39830.039999999994</v>
      </c>
      <c r="AH12" s="24">
        <f>'User Growth'!AH19*(Assumptions!$B$29-Assumptions!$B$28)</f>
        <v>42463.799999999996</v>
      </c>
      <c r="AI12" s="24">
        <f>'User Growth'!AI19*(Assumptions!$B$29-Assumptions!$B$28)</f>
        <v>45197.999999999993</v>
      </c>
      <c r="AJ12" s="24">
        <f>'User Growth'!AJ19*(Assumptions!$B$29-Assumptions!$B$28)</f>
        <v>48010.319999999992</v>
      </c>
      <c r="AK12" s="24">
        <f>'User Growth'!AK19*(Assumptions!$B$29-Assumptions!$B$28)</f>
        <v>50900.759999999995</v>
      </c>
      <c r="AL12" s="24">
        <f>'User Growth'!AL19*(Assumptions!$B$29-Assumptions!$B$28)</f>
        <v>53891.639999999992</v>
      </c>
    </row>
    <row r="13" spans="1:38" x14ac:dyDescent="0.2">
      <c r="A13" s="6" t="s">
        <v>187</v>
      </c>
      <c r="B13" s="6" t="s">
        <v>180</v>
      </c>
      <c r="C13" s="26">
        <f>'User Growth'!C20*Assumptions!$B$28 + 'User Growth'!C25*Assumptions!$B$29</f>
        <v>189.5247</v>
      </c>
      <c r="D13" s="26">
        <f>'User Growth'!D20*Assumptions!$B$28 + 'User Growth'!D25*Assumptions!$B$29</f>
        <v>557.41409999999996</v>
      </c>
      <c r="E13" s="26">
        <f>'User Growth'!E20*Assumptions!$B$28 + 'User Growth'!E25*Assumptions!$B$29</f>
        <v>1125.9881999999998</v>
      </c>
      <c r="F13" s="26">
        <f>'User Growth'!F20*Assumptions!$B$28 + 'User Growth'!F25*Assumptions!$B$29</f>
        <v>1895.2470000000001</v>
      </c>
      <c r="G13" s="26">
        <f>'User Growth'!G20*Assumptions!$B$28 + 'User Growth'!G25*Assumptions!$B$29</f>
        <v>2846.5998</v>
      </c>
      <c r="H13" s="26">
        <f>'User Growth'!H20*Assumptions!$B$28 + 'User Growth'!H25*Assumptions!$B$29</f>
        <v>3998.6372999999999</v>
      </c>
      <c r="I13" s="26">
        <f>'User Growth'!I20*Assumptions!$B$28 + 'User Growth'!I25*Assumptions!$B$29</f>
        <v>5358.7901999999995</v>
      </c>
      <c r="J13" s="26">
        <f>'User Growth'!J20*Assumptions!$B$28 + 'User Growth'!J25*Assumptions!$B$29</f>
        <v>6930.7878000000001</v>
      </c>
      <c r="K13" s="26">
        <f>'User Growth'!K20*Assumptions!$B$28 + 'User Growth'!K25*Assumptions!$B$29</f>
        <v>8729.4915000000001</v>
      </c>
      <c r="L13" s="26">
        <f>'User Growth'!L20*Assumptions!$B$28 + 'User Growth'!L25*Assumptions!$B$29</f>
        <v>10728.8799</v>
      </c>
      <c r="M13" s="26">
        <f>'User Growth'!M20*Assumptions!$B$28 + 'User Growth'!M25*Assumptions!$B$29</f>
        <v>12973.5651</v>
      </c>
      <c r="N13" s="26">
        <f>'User Growth'!N20*Assumptions!$B$28 + 'User Growth'!N25*Assumptions!$B$29</f>
        <v>15437.5257</v>
      </c>
      <c r="O13" s="26">
        <f>'User Growth'!O20*Assumptions!$B$28 + 'User Growth'!O25*Assumptions!$B$29</f>
        <v>18146.783100000001</v>
      </c>
      <c r="P13" s="26">
        <f>'User Growth'!P20*Assumptions!$B$28 + 'User Growth'!P25*Assumptions!$B$29</f>
        <v>21101.337299999999</v>
      </c>
      <c r="Q13" s="26">
        <f>'User Growth'!Q20*Assumptions!$B$28 + 'User Growth'!Q25*Assumptions!$B$29</f>
        <v>24308.618999999999</v>
      </c>
      <c r="R13" s="26">
        <f>'User Growth'!R20*Assumptions!$B$28 + 'User Growth'!R25*Assumptions!$B$29</f>
        <v>27761.197499999998</v>
      </c>
      <c r="S13" s="26">
        <f>'User Growth'!S20*Assumptions!$B$28 + 'User Growth'!S25*Assumptions!$B$29</f>
        <v>31503.6849</v>
      </c>
      <c r="T13" s="26">
        <f>'User Growth'!T20*Assumptions!$B$28 + 'User Growth'!T25*Assumptions!$B$29</f>
        <v>35498.899799999999</v>
      </c>
      <c r="U13" s="26">
        <f>'User Growth'!U20*Assumptions!$B$28 + 'User Growth'!U25*Assumptions!$B$29</f>
        <v>39758.002200000003</v>
      </c>
      <c r="V13" s="26">
        <f>'User Growth'!V20*Assumptions!$B$28 + 'User Growth'!V25*Assumptions!$B$29</f>
        <v>44295.853499999997</v>
      </c>
      <c r="W13" s="26">
        <f>'User Growth'!W20*Assumptions!$B$28 + 'User Growth'!W25*Assumptions!$B$29</f>
        <v>49123.613700000002</v>
      </c>
      <c r="X13" s="26">
        <f>'User Growth'!X20*Assumptions!$B$28 + 'User Growth'!X25*Assumptions!$B$29</f>
        <v>54241.282800000001</v>
      </c>
      <c r="Y13" s="26">
        <f>'User Growth'!Y20*Assumptions!$B$28 + 'User Growth'!Y25*Assumptions!$B$29</f>
        <v>59656.291499999992</v>
      </c>
      <c r="Z13" s="26">
        <f>'User Growth'!Z20*Assumptions!$B$28 + 'User Growth'!Z25*Assumptions!$B$29</f>
        <v>65361.209099999993</v>
      </c>
      <c r="AA13" s="26">
        <f>'User Growth'!AA20*Assumptions!$B$28 + 'User Growth'!AA25*Assumptions!$B$29</f>
        <v>71363.4663</v>
      </c>
      <c r="AB13" s="26">
        <f>'User Growth'!AB20*Assumptions!$B$28 + 'User Growth'!AB25*Assumptions!$B$29</f>
        <v>77681.6538</v>
      </c>
      <c r="AC13" s="26">
        <f>'User Growth'!AC20*Assumptions!$B$28 + 'User Growth'!AC25*Assumptions!$B$29</f>
        <v>84308.340899999996</v>
      </c>
      <c r="AD13" s="26">
        <f>'User Growth'!AD20*Assumptions!$B$28 + 'User Growth'!AD25*Assumptions!$B$29</f>
        <v>91232.367599999998</v>
      </c>
      <c r="AE13" s="26">
        <f>'User Growth'!AE20*Assumptions!$B$28 + 'User Growth'!AE25*Assumptions!$B$29</f>
        <v>98464.893899999995</v>
      </c>
      <c r="AF13" s="26">
        <f>'User Growth'!AF20*Assumptions!$B$28 + 'User Growth'!AF25*Assumptions!$B$29</f>
        <v>106031.9412</v>
      </c>
      <c r="AG13" s="26">
        <f>'User Growth'!AG20*Assumptions!$B$28 + 'User Growth'!AG25*Assumptions!$B$29</f>
        <v>113888.89739999999</v>
      </c>
      <c r="AH13" s="26">
        <f>'User Growth'!AH20*Assumptions!$B$28 + 'User Growth'!AH25*Assumptions!$B$29</f>
        <v>122091.5346</v>
      </c>
      <c r="AI13" s="26">
        <f>'User Growth'!AI20*Assumptions!$B$28 + 'User Growth'!AI25*Assumptions!$B$29</f>
        <v>130591.51139999999</v>
      </c>
      <c r="AJ13" s="26">
        <f>'User Growth'!AJ20*Assumptions!$B$28 + 'User Growth'!AJ25*Assumptions!$B$29</f>
        <v>139437.1692</v>
      </c>
      <c r="AK13" s="26">
        <f>'User Growth'!AK20*Assumptions!$B$28 + 'User Growth'!AK25*Assumptions!$B$29</f>
        <v>148598.7573</v>
      </c>
      <c r="AL13" s="26">
        <f>'User Growth'!AL20*Assumptions!$B$28 + 'User Growth'!AL25*Assumptions!$B$29</f>
        <v>158061.4143</v>
      </c>
    </row>
    <row r="14" spans="1:38" x14ac:dyDescent="0.2">
      <c r="A14" s="17" t="s">
        <v>188</v>
      </c>
      <c r="B14" s="17" t="s">
        <v>180</v>
      </c>
      <c r="C14" s="27">
        <f t="shared" ref="C14:AL14" si="2">C11+C12-C13</f>
        <v>4184.7116999999998</v>
      </c>
      <c r="D14" s="27">
        <f t="shared" si="2"/>
        <v>8466.1620000000003</v>
      </c>
      <c r="E14" s="27">
        <f t="shared" si="2"/>
        <v>12810.842999999999</v>
      </c>
      <c r="F14" s="27">
        <f t="shared" si="2"/>
        <v>17296.846799999999</v>
      </c>
      <c r="G14" s="27">
        <f t="shared" si="2"/>
        <v>21898.124099999997</v>
      </c>
      <c r="H14" s="27">
        <f t="shared" si="2"/>
        <v>26640.6963</v>
      </c>
      <c r="I14" s="27">
        <f t="shared" si="2"/>
        <v>31543.154099999996</v>
      </c>
      <c r="J14" s="27">
        <f t="shared" si="2"/>
        <v>36590.608199999995</v>
      </c>
      <c r="K14" s="27">
        <f t="shared" si="2"/>
        <v>41812.809299999994</v>
      </c>
      <c r="L14" s="27">
        <f t="shared" si="2"/>
        <v>47194.8681</v>
      </c>
      <c r="M14" s="27">
        <f t="shared" si="2"/>
        <v>52751.673900000002</v>
      </c>
      <c r="N14" s="27">
        <f t="shared" si="2"/>
        <v>58494.358800000002</v>
      </c>
      <c r="O14" s="27">
        <f t="shared" si="2"/>
        <v>64408.061399999991</v>
      </c>
      <c r="P14" s="27">
        <f t="shared" si="2"/>
        <v>70492.781699999992</v>
      </c>
      <c r="Q14" s="27">
        <f t="shared" si="2"/>
        <v>76744.790399999998</v>
      </c>
      <c r="R14" s="27">
        <f t="shared" si="2"/>
        <v>83178.976800000004</v>
      </c>
      <c r="S14" s="27">
        <f t="shared" si="2"/>
        <v>89735.839500000002</v>
      </c>
      <c r="T14" s="27">
        <f t="shared" si="2"/>
        <v>96500.901300000012</v>
      </c>
      <c r="U14" s="27">
        <f t="shared" si="2"/>
        <v>103425.82079999997</v>
      </c>
      <c r="V14" s="27">
        <f t="shared" si="2"/>
        <v>110469.71519999998</v>
      </c>
      <c r="W14" s="27">
        <f t="shared" si="2"/>
        <v>117684.62729999998</v>
      </c>
      <c r="X14" s="27">
        <f t="shared" si="2"/>
        <v>125022.21569999999</v>
      </c>
      <c r="Y14" s="27">
        <f t="shared" si="2"/>
        <v>132489.93899999998</v>
      </c>
      <c r="Z14" s="27">
        <f t="shared" si="2"/>
        <v>140087.79719999997</v>
      </c>
      <c r="AA14" s="27">
        <f t="shared" si="2"/>
        <v>147800.90099999998</v>
      </c>
      <c r="AB14" s="27">
        <f t="shared" si="2"/>
        <v>155618.1183</v>
      </c>
      <c r="AC14" s="27">
        <f t="shared" si="2"/>
        <v>163546.8798</v>
      </c>
      <c r="AD14" s="27">
        <f t="shared" si="2"/>
        <v>171557.43479999999</v>
      </c>
      <c r="AE14" s="27">
        <f t="shared" si="2"/>
        <v>179683.26329999996</v>
      </c>
      <c r="AF14" s="27">
        <f t="shared" si="2"/>
        <v>187864.8639</v>
      </c>
      <c r="AG14" s="27">
        <f t="shared" si="2"/>
        <v>196150.57799999995</v>
      </c>
      <c r="AH14" s="27">
        <f t="shared" si="2"/>
        <v>204454.88279999996</v>
      </c>
      <c r="AI14" s="27">
        <f t="shared" si="2"/>
        <v>212878.19039999999</v>
      </c>
      <c r="AJ14" s="27">
        <f t="shared" si="2"/>
        <v>221312.658</v>
      </c>
      <c r="AK14" s="27">
        <f t="shared" si="2"/>
        <v>229799.19630000001</v>
      </c>
      <c r="AL14" s="27">
        <f t="shared" si="2"/>
        <v>238363.82669999998</v>
      </c>
    </row>
    <row r="15" spans="1:38" x14ac:dyDescent="0.2">
      <c r="A15" s="3" t="s">
        <v>189</v>
      </c>
      <c r="B15" s="4"/>
      <c r="C15" s="4"/>
      <c r="D15" s="4"/>
      <c r="E15" s="4"/>
    </row>
    <row r="16" spans="1:38" x14ac:dyDescent="0.2">
      <c r="A16" s="6" t="s">
        <v>190</v>
      </c>
      <c r="B16" s="6" t="s">
        <v>180</v>
      </c>
      <c r="C16" s="28">
        <f t="shared" ref="C16:AL16" si="3">C8</f>
        <v>4184.7116999999998</v>
      </c>
      <c r="D16" s="28">
        <f t="shared" si="3"/>
        <v>12650.8737</v>
      </c>
      <c r="E16" s="28">
        <f t="shared" si="3"/>
        <v>25461.716699999997</v>
      </c>
      <c r="F16" s="28">
        <f t="shared" si="3"/>
        <v>42758.563500000004</v>
      </c>
      <c r="G16" s="28">
        <f t="shared" si="3"/>
        <v>64656.68759999999</v>
      </c>
      <c r="H16" s="28">
        <f t="shared" si="3"/>
        <v>91297.383899999986</v>
      </c>
      <c r="I16" s="28">
        <f t="shared" si="3"/>
        <v>122840.538</v>
      </c>
      <c r="J16" s="28">
        <f t="shared" si="3"/>
        <v>159431.14619999999</v>
      </c>
      <c r="K16" s="28">
        <f t="shared" si="3"/>
        <v>201243.95549999998</v>
      </c>
      <c r="L16" s="28">
        <f t="shared" si="3"/>
        <v>248438.82359999997</v>
      </c>
      <c r="M16" s="28">
        <f t="shared" si="3"/>
        <v>301190.49749999994</v>
      </c>
      <c r="N16" s="28">
        <f t="shared" si="3"/>
        <v>359684.85629999998</v>
      </c>
      <c r="O16" s="28">
        <f t="shared" si="3"/>
        <v>424092.91769999999</v>
      </c>
      <c r="P16" s="28">
        <f t="shared" si="3"/>
        <v>494585.69939999998</v>
      </c>
      <c r="Q16" s="28">
        <f t="shared" si="3"/>
        <v>571330.48979999986</v>
      </c>
      <c r="R16" s="28">
        <f t="shared" si="3"/>
        <v>654509.46659999993</v>
      </c>
      <c r="S16" s="28">
        <f t="shared" si="3"/>
        <v>744245.30609999993</v>
      </c>
      <c r="T16" s="28">
        <f t="shared" si="3"/>
        <v>840746.20739999996</v>
      </c>
      <c r="U16" s="28">
        <f t="shared" si="3"/>
        <v>944172.02819999994</v>
      </c>
      <c r="V16" s="28">
        <f t="shared" si="3"/>
        <v>1054641.7433999998</v>
      </c>
      <c r="W16" s="28">
        <f t="shared" si="3"/>
        <v>1172326.3706999999</v>
      </c>
      <c r="X16" s="28">
        <f t="shared" si="3"/>
        <v>1297348.5863999999</v>
      </c>
      <c r="Y16" s="28">
        <f t="shared" si="3"/>
        <v>1429838.5253999999</v>
      </c>
      <c r="Z16" s="28">
        <f t="shared" si="3"/>
        <v>1569926.3226000001</v>
      </c>
      <c r="AA16" s="28">
        <f t="shared" si="3"/>
        <v>1717727.2235999999</v>
      </c>
      <c r="AB16" s="28">
        <f t="shared" si="3"/>
        <v>1873345.3418999999</v>
      </c>
      <c r="AC16" s="28">
        <f t="shared" si="3"/>
        <v>2036892.2216999996</v>
      </c>
      <c r="AD16" s="28">
        <f t="shared" si="3"/>
        <v>2208449.6565</v>
      </c>
      <c r="AE16" s="28">
        <f t="shared" si="3"/>
        <v>2388132.9198000003</v>
      </c>
      <c r="AF16" s="28">
        <f t="shared" si="3"/>
        <v>2575997.7836999996</v>
      </c>
      <c r="AG16" s="28">
        <f t="shared" si="3"/>
        <v>2772148.3616999998</v>
      </c>
      <c r="AH16" s="28">
        <f t="shared" si="3"/>
        <v>2976603.2445</v>
      </c>
      <c r="AI16" s="28">
        <f t="shared" si="3"/>
        <v>3189481.4348999998</v>
      </c>
      <c r="AJ16" s="28">
        <f t="shared" si="3"/>
        <v>3410794.0928999996</v>
      </c>
      <c r="AK16" s="28">
        <f t="shared" si="3"/>
        <v>3640593.2891999995</v>
      </c>
      <c r="AL16" s="28">
        <f t="shared" si="3"/>
        <v>3878957.1158999996</v>
      </c>
    </row>
    <row r="17" spans="1:38" x14ac:dyDescent="0.2">
      <c r="A17" s="17" t="s">
        <v>191</v>
      </c>
      <c r="B17" s="17" t="s">
        <v>180</v>
      </c>
      <c r="C17" s="25">
        <f>C16</f>
        <v>4184.7116999999998</v>
      </c>
      <c r="D17" s="25">
        <f t="shared" ref="D17:AL17" si="4">C17+D16</f>
        <v>16835.5854</v>
      </c>
      <c r="E17" s="25">
        <f t="shared" si="4"/>
        <v>42297.302100000001</v>
      </c>
      <c r="F17" s="25">
        <f t="shared" si="4"/>
        <v>85055.865600000005</v>
      </c>
      <c r="G17" s="25">
        <f t="shared" si="4"/>
        <v>149712.55319999999</v>
      </c>
      <c r="H17" s="25">
        <f t="shared" si="4"/>
        <v>241009.93709999998</v>
      </c>
      <c r="I17" s="25">
        <f t="shared" si="4"/>
        <v>363850.47509999998</v>
      </c>
      <c r="J17" s="25">
        <f t="shared" si="4"/>
        <v>523281.6213</v>
      </c>
      <c r="K17" s="25">
        <f t="shared" si="4"/>
        <v>724525.57679999992</v>
      </c>
      <c r="L17" s="25">
        <f t="shared" si="4"/>
        <v>972964.40039999993</v>
      </c>
      <c r="M17" s="25">
        <f t="shared" si="4"/>
        <v>1274154.8978999997</v>
      </c>
      <c r="N17" s="25">
        <f t="shared" si="4"/>
        <v>1633839.7541999999</v>
      </c>
      <c r="O17" s="25">
        <f t="shared" si="4"/>
        <v>2057932.6719</v>
      </c>
      <c r="P17" s="25">
        <f t="shared" si="4"/>
        <v>2552518.3712999998</v>
      </c>
      <c r="Q17" s="25">
        <f t="shared" si="4"/>
        <v>3123848.8610999994</v>
      </c>
      <c r="R17" s="25">
        <f t="shared" si="4"/>
        <v>3778358.3276999993</v>
      </c>
      <c r="S17" s="25">
        <f t="shared" si="4"/>
        <v>4522603.633799999</v>
      </c>
      <c r="T17" s="25">
        <f t="shared" si="4"/>
        <v>5363349.8411999987</v>
      </c>
      <c r="U17" s="25">
        <f t="shared" si="4"/>
        <v>6307521.8693999983</v>
      </c>
      <c r="V17" s="25">
        <f t="shared" si="4"/>
        <v>7362163.6127999984</v>
      </c>
      <c r="W17" s="25">
        <f t="shared" si="4"/>
        <v>8534489.9834999982</v>
      </c>
      <c r="X17" s="25">
        <f t="shared" si="4"/>
        <v>9831838.5698999986</v>
      </c>
      <c r="Y17" s="25">
        <f t="shared" si="4"/>
        <v>11261677.095299998</v>
      </c>
      <c r="Z17" s="25">
        <f t="shared" si="4"/>
        <v>12831603.417899998</v>
      </c>
      <c r="AA17" s="25">
        <f t="shared" si="4"/>
        <v>14549330.641499998</v>
      </c>
      <c r="AB17" s="25">
        <f t="shared" si="4"/>
        <v>16422675.983399998</v>
      </c>
      <c r="AC17" s="25">
        <f t="shared" si="4"/>
        <v>18459568.2051</v>
      </c>
      <c r="AD17" s="25">
        <f t="shared" si="4"/>
        <v>20668017.8616</v>
      </c>
      <c r="AE17" s="25">
        <f t="shared" si="4"/>
        <v>23056150.781400003</v>
      </c>
      <c r="AF17" s="25">
        <f t="shared" si="4"/>
        <v>25632148.565100003</v>
      </c>
      <c r="AG17" s="25">
        <f t="shared" si="4"/>
        <v>28404296.926800001</v>
      </c>
      <c r="AH17" s="25">
        <f t="shared" si="4"/>
        <v>31380900.171300001</v>
      </c>
      <c r="AI17" s="25">
        <f t="shared" si="4"/>
        <v>34570381.606200002</v>
      </c>
      <c r="AJ17" s="25">
        <f t="shared" si="4"/>
        <v>37981175.699100003</v>
      </c>
      <c r="AK17" s="25">
        <f t="shared" si="4"/>
        <v>41621768.988300003</v>
      </c>
      <c r="AL17" s="25">
        <f t="shared" si="4"/>
        <v>45500726.104200006</v>
      </c>
    </row>
    <row r="18" spans="1:38" x14ac:dyDescent="0.2">
      <c r="A18" s="6" t="s">
        <v>192</v>
      </c>
      <c r="B18" s="6" t="s">
        <v>180</v>
      </c>
      <c r="C18" s="29">
        <f>IF('User Growth'!C29=0,0,C8/'User Growth'!C29)</f>
        <v>9.7093078886310895</v>
      </c>
      <c r="D18" s="29">
        <f>IF('User Growth'!D29=0,0,D8/'User Growth'!D29)</f>
        <v>9.7992824941905496</v>
      </c>
      <c r="E18" s="29">
        <f>IF('User Growth'!E29=0,0,E8/'User Growth'!E29)</f>
        <v>9.865058775668345</v>
      </c>
      <c r="F18" s="29">
        <f>IF('User Growth'!F29=0,0,F8/'User Growth'!F29)</f>
        <v>9.9323027874564467</v>
      </c>
      <c r="G18" s="29">
        <f>IF('User Growth'!G29=0,0,G8/'User Growth'!G29)</f>
        <v>9.9963957328385877</v>
      </c>
      <c r="H18" s="29">
        <f>IF('User Growth'!H29=0,0,H8/'User Growth'!H29)</f>
        <v>10.05810112371929</v>
      </c>
      <c r="I18" s="29">
        <f>IF('User Growth'!I29=0,0,I8/'User Growth'!I29)</f>
        <v>10.118660461285009</v>
      </c>
      <c r="J18" s="29">
        <f>IF('User Growth'!J29=0,0,J8/'User Growth'!J29)</f>
        <v>10.176889199540405</v>
      </c>
      <c r="K18" s="29">
        <f>IF('User Growth'!K29=0,0,K8/'User Growth'!K29)</f>
        <v>10.233610755148741</v>
      </c>
      <c r="L18" s="29">
        <f>IF('User Growth'!L29=0,0,L8/'User Growth'!L29)</f>
        <v>10.288173910882888</v>
      </c>
      <c r="M18" s="29">
        <f>IF('User Growth'!M29=0,0,M8/'User Growth'!M29)</f>
        <v>10.341304635193131</v>
      </c>
      <c r="N18" s="29">
        <f>IF('User Growth'!N29=0,0,N8/'User Growth'!N29)</f>
        <v>10.392812745239677</v>
      </c>
      <c r="O18" s="29">
        <f>IF('User Growth'!O29=0,0,O8/'User Growth'!O29)</f>
        <v>10.442809034498042</v>
      </c>
      <c r="P18" s="29">
        <f>IF('User Growth'!P29=0,0,P8/'User Growth'!P29)</f>
        <v>10.491402558228332</v>
      </c>
      <c r="Q18" s="29">
        <f>IF('User Growth'!Q29=0,0,Q8/'User Growth'!Q29)</f>
        <v>10.538430844431325</v>
      </c>
      <c r="R18" s="29">
        <f>IF('User Growth'!R29=0,0,R8/'User Growth'!R29)</f>
        <v>10.584259946958181</v>
      </c>
      <c r="S18" s="29">
        <f>IF('User Growth'!S29=0,0,S8/'User Growth'!S29)</f>
        <v>10.628583552547019</v>
      </c>
      <c r="T18" s="29">
        <f>IF('User Growth'!T29=0,0,T8/'User Growth'!T29)</f>
        <v>10.671805836358558</v>
      </c>
      <c r="U18" s="29">
        <f>IF('User Growth'!U29=0,0,U8/'User Growth'!U29)</f>
        <v>10.713887254612713</v>
      </c>
      <c r="V18" s="29">
        <f>IF('User Growth'!V29=0,0,V8/'User Growth'!V29)</f>
        <v>10.754846356386773</v>
      </c>
      <c r="W18" s="29">
        <f>IF('User Growth'!W29=0,0,W8/'User Growth'!W29)</f>
        <v>10.794802724652627</v>
      </c>
      <c r="X18" s="29">
        <f>IF('User Growth'!X29=0,0,X8/'User Growth'!X29)</f>
        <v>10.833627717282383</v>
      </c>
      <c r="Y18" s="29">
        <f>IF('User Growth'!Y29=0,0,Y8/'User Growth'!Y29)</f>
        <v>10.871477968704855</v>
      </c>
      <c r="Z18" s="29">
        <f>IF('User Growth'!Z29=0,0,Z8/'User Growth'!Z29)</f>
        <v>10.908477901304911</v>
      </c>
      <c r="AA18" s="29">
        <f>IF('User Growth'!AA29=0,0,AA8/'User Growth'!AA29)</f>
        <v>10.944562680633075</v>
      </c>
      <c r="AB18" s="29">
        <f>IF('User Growth'!AB29=0,0,AB8/'User Growth'!AB29)</f>
        <v>10.979828164250923</v>
      </c>
      <c r="AC18" s="29">
        <f>IF('User Growth'!AC29=0,0,AC8/'User Growth'!AC29)</f>
        <v>11.014336275151271</v>
      </c>
      <c r="AD18" s="29">
        <f>IF('User Growth'!AD29=0,0,AD8/'User Growth'!AD29)</f>
        <v>11.048048507966683</v>
      </c>
      <c r="AE18" s="29">
        <f>IF('User Growth'!AE29=0,0,AE8/'User Growth'!AE29)</f>
        <v>11.081103407667252</v>
      </c>
      <c r="AF18" s="29">
        <f>IF('User Growth'!AF29=0,0,AF8/'User Growth'!AF29)</f>
        <v>11.113450408773419</v>
      </c>
      <c r="AG18" s="29">
        <f>IF('User Growth'!AG29=0,0,AG8/'User Growth'!AG29)</f>
        <v>11.145166310994608</v>
      </c>
      <c r="AH18" s="29">
        <f>IF('User Growth'!AH29=0,0,AH8/'User Growth'!AH29)</f>
        <v>11.176162519008017</v>
      </c>
      <c r="AI18" s="29">
        <f>IF('User Growth'!AI29=0,0,AI8/'User Growth'!AI29)</f>
        <v>11.206616263479113</v>
      </c>
      <c r="AJ18" s="29">
        <f>IF('User Growth'!AJ29=0,0,AJ8/'User Growth'!AJ29)</f>
        <v>11.23646121654966</v>
      </c>
      <c r="AK18" s="29">
        <f>IF('User Growth'!AK29=0,0,AK8/'User Growth'!AK29)</f>
        <v>11.265745612645285</v>
      </c>
      <c r="AL18" s="29">
        <f>IF('User Growth'!AL29=0,0,AL8/'User Growth'!AL29)</f>
        <v>11.294523059251041</v>
      </c>
    </row>
    <row r="19" spans="1:38" x14ac:dyDescent="0.2">
      <c r="A19" t="s">
        <v>193</v>
      </c>
      <c r="B19" t="s">
        <v>175</v>
      </c>
      <c r="C19">
        <v>0</v>
      </c>
      <c r="D19">
        <f t="shared" ref="D19:AL19" si="5">IF(C8=0,0,(C8+D12-D13)/C8)</f>
        <v>0.92546819892036991</v>
      </c>
      <c r="E19">
        <f t="shared" si="5"/>
        <v>0.9489277803793108</v>
      </c>
      <c r="F19">
        <f t="shared" si="5"/>
        <v>0.95712280468504318</v>
      </c>
      <c r="G19">
        <f t="shared" si="5"/>
        <v>0.96135324330996286</v>
      </c>
      <c r="H19">
        <f t="shared" si="5"/>
        <v>0.96387384837202816</v>
      </c>
      <c r="I19">
        <f t="shared" si="5"/>
        <v>0.96550711460199889</v>
      </c>
      <c r="J19">
        <f t="shared" si="5"/>
        <v>0.96665475528933287</v>
      </c>
      <c r="K19">
        <f t="shared" si="5"/>
        <v>0.96743565091423767</v>
      </c>
      <c r="L19">
        <f t="shared" si="5"/>
        <v>0.96809285583735216</v>
      </c>
      <c r="M19">
        <f t="shared" si="5"/>
        <v>0.96857783744553194</v>
      </c>
      <c r="N19">
        <f t="shared" si="5"/>
        <v>0.96901294769434088</v>
      </c>
      <c r="O19">
        <f t="shared" si="5"/>
        <v>0.96934343243296561</v>
      </c>
      <c r="P19">
        <f t="shared" si="5"/>
        <v>0.96961143003779993</v>
      </c>
      <c r="Q19">
        <f t="shared" si="5"/>
        <v>0.9698271522648072</v>
      </c>
      <c r="R19">
        <f t="shared" si="5"/>
        <v>0.9700443827074744</v>
      </c>
      <c r="S19">
        <f t="shared" si="5"/>
        <v>0.97017943070955115</v>
      </c>
      <c r="T19">
        <f t="shared" si="5"/>
        <v>0.97032620881987441</v>
      </c>
      <c r="U19">
        <f t="shared" si="5"/>
        <v>0.97047156207011154</v>
      </c>
      <c r="V19">
        <f t="shared" si="5"/>
        <v>0.97059021802103418</v>
      </c>
      <c r="W19">
        <f t="shared" si="5"/>
        <v>0.97069100109734963</v>
      </c>
      <c r="X19">
        <f t="shared" si="5"/>
        <v>0.97077189112487472</v>
      </c>
      <c r="Y19">
        <f t="shared" si="5"/>
        <v>0.97084258471736817</v>
      </c>
      <c r="Z19">
        <f t="shared" si="5"/>
        <v>0.97092031837065784</v>
      </c>
      <c r="AA19">
        <f t="shared" si="5"/>
        <v>0.9709785448883077</v>
      </c>
      <c r="AB19">
        <f t="shared" si="5"/>
        <v>0.97103187682167913</v>
      </c>
      <c r="AC19">
        <f t="shared" si="5"/>
        <v>0.97108043045333392</v>
      </c>
      <c r="AD19">
        <f t="shared" si="5"/>
        <v>0.97112632324212289</v>
      </c>
      <c r="AE19">
        <f t="shared" si="5"/>
        <v>0.9711757731435523</v>
      </c>
      <c r="AF19">
        <f t="shared" si="5"/>
        <v>0.97120866236969838</v>
      </c>
      <c r="AG19">
        <f t="shared" si="5"/>
        <v>0.9712504188207699</v>
      </c>
      <c r="AH19">
        <f t="shared" si="5"/>
        <v>0.97127580338046227</v>
      </c>
      <c r="AI19">
        <f t="shared" si="5"/>
        <v>0.97131175894611232</v>
      </c>
      <c r="AJ19">
        <f t="shared" si="5"/>
        <v>0.97133488591606532</v>
      </c>
      <c r="AK19">
        <f t="shared" si="5"/>
        <v>0.97135623123560255</v>
      </c>
      <c r="AL19">
        <f t="shared" si="5"/>
        <v>0.97138659388044679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59E0B"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194</v>
      </c>
    </row>
    <row r="2" spans="1:38" x14ac:dyDescent="0.2">
      <c r="A2" s="2" t="s">
        <v>195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196</v>
      </c>
      <c r="B5" s="4"/>
      <c r="C5" s="4"/>
      <c r="D5" s="4"/>
      <c r="E5" s="4"/>
    </row>
    <row r="6" spans="1:38" x14ac:dyDescent="0.2">
      <c r="A6" s="6" t="s">
        <v>197</v>
      </c>
      <c r="B6" s="6" t="s">
        <v>180</v>
      </c>
      <c r="C6" s="24">
        <f>'User Growth'!C15*Assumptions!$B$33</f>
        <v>1381.2</v>
      </c>
      <c r="D6" s="24">
        <f>'User Growth'!D15*Assumptions!$B$33</f>
        <v>2822.7</v>
      </c>
      <c r="E6" s="24">
        <f>'User Growth'!E15*Assumptions!$B$33</f>
        <v>4331.8499999999995</v>
      </c>
      <c r="F6" s="24">
        <f>'User Growth'!F15*Assumptions!$B$33</f>
        <v>5914.8</v>
      </c>
      <c r="G6" s="24">
        <f>'User Growth'!G15*Assumptions!$B$33</f>
        <v>7577.7</v>
      </c>
      <c r="H6" s="24">
        <f>'User Growth'!H15*Assumptions!$B$33</f>
        <v>9325.7999999999993</v>
      </c>
      <c r="I6" s="24">
        <f>'User Growth'!I15*Assumptions!$B$33</f>
        <v>11163.75</v>
      </c>
      <c r="J6" s="24">
        <f>'User Growth'!J15*Assumptions!$B$33</f>
        <v>13095.6</v>
      </c>
      <c r="K6" s="24">
        <f>'User Growth'!K15*Assumptions!$B$33</f>
        <v>15125.099999999999</v>
      </c>
      <c r="L6" s="24">
        <f>'User Growth'!L15*Assumptions!$B$33</f>
        <v>17255.25</v>
      </c>
      <c r="M6" s="24">
        <f>'User Growth'!M15*Assumptions!$B$33</f>
        <v>19488.899999999998</v>
      </c>
      <c r="N6" s="24">
        <f>'User Growth'!N15*Assumptions!$B$33</f>
        <v>21828.149999999998</v>
      </c>
      <c r="O6" s="24">
        <f>'User Growth'!O15*Assumptions!$B$33</f>
        <v>24274.799999999999</v>
      </c>
      <c r="P6" s="24">
        <f>'User Growth'!P15*Assumptions!$B$33</f>
        <v>26830.35</v>
      </c>
      <c r="Q6" s="24">
        <f>'User Growth'!Q15*Assumptions!$B$33</f>
        <v>29495.85</v>
      </c>
      <c r="R6" s="24">
        <f>'User Growth'!R15*Assumptions!$B$33</f>
        <v>32272.05</v>
      </c>
      <c r="S6" s="24">
        <f>'User Growth'!S15*Assumptions!$B$33</f>
        <v>35159.4</v>
      </c>
      <c r="T6" s="24">
        <f>'User Growth'!T15*Assumptions!$B$33</f>
        <v>38157.9</v>
      </c>
      <c r="U6" s="24">
        <f>'User Growth'!U15*Assumptions!$B$33</f>
        <v>41267.25</v>
      </c>
      <c r="V6" s="24">
        <f>'User Growth'!V15*Assumptions!$B$33</f>
        <v>44487.6</v>
      </c>
      <c r="W6" s="24">
        <f>'User Growth'!W15*Assumptions!$B$33</f>
        <v>47817.9</v>
      </c>
      <c r="X6" s="24">
        <f>'User Growth'!X15*Assumptions!$B$33</f>
        <v>51257.549999999996</v>
      </c>
      <c r="Y6" s="24">
        <f>'User Growth'!Y15*Assumptions!$B$33</f>
        <v>54805.65</v>
      </c>
      <c r="Z6" s="24">
        <f>'User Growth'!Z15*Assumptions!$B$33</f>
        <v>58461.15</v>
      </c>
      <c r="AA6" s="24">
        <f>'User Growth'!AA15*Assumptions!$B$33</f>
        <v>62222.85</v>
      </c>
      <c r="AB6" s="24">
        <f>'User Growth'!AB15*Assumptions!$B$33</f>
        <v>66089.55</v>
      </c>
      <c r="AC6" s="24">
        <f>'User Growth'!AC15*Assumptions!$B$33</f>
        <v>70059.899999999994</v>
      </c>
      <c r="AD6" s="24">
        <f>'User Growth'!AD15*Assumptions!$B$33</f>
        <v>74132.7</v>
      </c>
      <c r="AE6" s="24">
        <f>'User Growth'!AE15*Assumptions!$B$33</f>
        <v>78306.45</v>
      </c>
      <c r="AF6" s="24">
        <f>'User Growth'!AF15*Assumptions!$B$33</f>
        <v>82579.649999999994</v>
      </c>
      <c r="AG6" s="24">
        <f>'User Growth'!AG15*Assumptions!$B$33</f>
        <v>86950.95</v>
      </c>
      <c r="AH6" s="24">
        <f>'User Growth'!AH15*Assumptions!$B$33</f>
        <v>91418.849999999991</v>
      </c>
      <c r="AI6" s="24">
        <f>'User Growth'!AI15*Assumptions!$B$33</f>
        <v>95982</v>
      </c>
      <c r="AJ6" s="24">
        <f>'User Growth'!AJ15*Assumptions!$B$33</f>
        <v>100638.9</v>
      </c>
      <c r="AK6" s="24">
        <f>'User Growth'!AK15*Assumptions!$B$33</f>
        <v>105388.34999999999</v>
      </c>
      <c r="AL6" s="24">
        <f>'User Growth'!AL15*Assumptions!$B$33</f>
        <v>110228.84999999999</v>
      </c>
    </row>
    <row r="7" spans="1:38" x14ac:dyDescent="0.2">
      <c r="A7" s="6" t="s">
        <v>198</v>
      </c>
      <c r="B7" s="6" t="s">
        <v>180</v>
      </c>
      <c r="C7" s="24">
        <f>'User Growth'!C29*Assumptions!$B$32</f>
        <v>862</v>
      </c>
      <c r="D7" s="24">
        <f>'User Growth'!D29*Assumptions!$B$32</f>
        <v>2582</v>
      </c>
      <c r="E7" s="24">
        <f>'User Growth'!E29*Assumptions!$B$32</f>
        <v>5162</v>
      </c>
      <c r="F7" s="24">
        <f>'User Growth'!F29*Assumptions!$B$32</f>
        <v>8610</v>
      </c>
      <c r="G7" s="24">
        <f>'User Growth'!G29*Assumptions!$B$32</f>
        <v>12936</v>
      </c>
      <c r="H7" s="24">
        <f>'User Growth'!H29*Assumptions!$B$32</f>
        <v>18154</v>
      </c>
      <c r="I7" s="24">
        <f>'User Growth'!I29*Assumptions!$B$32</f>
        <v>24280</v>
      </c>
      <c r="J7" s="24">
        <f>'User Growth'!J29*Assumptions!$B$32</f>
        <v>31332</v>
      </c>
      <c r="K7" s="24">
        <f>'User Growth'!K29*Assumptions!$B$32</f>
        <v>39330</v>
      </c>
      <c r="L7" s="24">
        <f>'User Growth'!L29*Assumptions!$B$32</f>
        <v>48296</v>
      </c>
      <c r="M7" s="24">
        <f>'User Growth'!M29*Assumptions!$B$32</f>
        <v>58250</v>
      </c>
      <c r="N7" s="24">
        <f>'User Growth'!N29*Assumptions!$B$32</f>
        <v>69218</v>
      </c>
      <c r="O7" s="24">
        <f>'User Growth'!O29*Assumptions!$B$32</f>
        <v>81222</v>
      </c>
      <c r="P7" s="24">
        <f>'User Growth'!P29*Assumptions!$B$32</f>
        <v>94284</v>
      </c>
      <c r="Q7" s="24">
        <f>'User Growth'!Q29*Assumptions!$B$32</f>
        <v>108428</v>
      </c>
      <c r="R7" s="24">
        <f>'User Growth'!R29*Assumptions!$B$32</f>
        <v>123676</v>
      </c>
      <c r="S7" s="24">
        <f>'User Growth'!S29*Assumptions!$B$32</f>
        <v>140046</v>
      </c>
      <c r="T7" s="24">
        <f>'User Growth'!T29*Assumptions!$B$32</f>
        <v>157564</v>
      </c>
      <c r="U7" s="24">
        <f>'User Growth'!U29*Assumptions!$B$32</f>
        <v>176252</v>
      </c>
      <c r="V7" s="24">
        <f>'User Growth'!V29*Assumptions!$B$32</f>
        <v>196124</v>
      </c>
      <c r="W7" s="24">
        <f>'User Growth'!W29*Assumptions!$B$32</f>
        <v>217202</v>
      </c>
      <c r="X7" s="24">
        <f>'User Growth'!X29*Assumptions!$B$32</f>
        <v>239504</v>
      </c>
      <c r="Y7" s="24">
        <f>'User Growth'!Y29*Assumptions!$B$32</f>
        <v>263044</v>
      </c>
      <c r="Z7" s="24">
        <f>'User Growth'!Z29*Assumptions!$B$32</f>
        <v>287836</v>
      </c>
      <c r="AA7" s="24">
        <f>'User Growth'!AA29*Assumptions!$B$32</f>
        <v>313896</v>
      </c>
      <c r="AB7" s="24">
        <f>'User Growth'!AB29*Assumptions!$B$32</f>
        <v>341234</v>
      </c>
      <c r="AC7" s="24">
        <f>'User Growth'!AC29*Assumptions!$B$32</f>
        <v>369862</v>
      </c>
      <c r="AD7" s="24">
        <f>'User Growth'!AD29*Assumptions!$B$32</f>
        <v>399790</v>
      </c>
      <c r="AE7" s="24">
        <f>'User Growth'!AE29*Assumptions!$B$32</f>
        <v>431028</v>
      </c>
      <c r="AF7" s="24">
        <f>'User Growth'!AF29*Assumptions!$B$32</f>
        <v>463582</v>
      </c>
      <c r="AG7" s="24">
        <f>'User Growth'!AG29*Assumptions!$B$32</f>
        <v>497462</v>
      </c>
      <c r="AH7" s="24">
        <f>'User Growth'!AH29*Assumptions!$B$32</f>
        <v>532670</v>
      </c>
      <c r="AI7" s="24">
        <f>'User Growth'!AI29*Assumptions!$B$32</f>
        <v>569214</v>
      </c>
      <c r="AJ7" s="24">
        <f>'User Growth'!AJ29*Assumptions!$B$32</f>
        <v>607094</v>
      </c>
      <c r="AK7" s="24">
        <f>'User Growth'!AK29*Assumptions!$B$32</f>
        <v>646312</v>
      </c>
      <c r="AL7" s="24">
        <f>'User Growth'!AL29*Assumptions!$B$32</f>
        <v>686874</v>
      </c>
    </row>
    <row r="8" spans="1:38" x14ac:dyDescent="0.2">
      <c r="A8" s="17" t="s">
        <v>199</v>
      </c>
      <c r="B8" s="17" t="s">
        <v>180</v>
      </c>
      <c r="C8" s="25">
        <f t="shared" ref="C8:AL8" si="0">C6+C7</f>
        <v>2243.1999999999998</v>
      </c>
      <c r="D8" s="25">
        <f t="shared" si="0"/>
        <v>5404.7</v>
      </c>
      <c r="E8" s="25">
        <f t="shared" si="0"/>
        <v>9493.8499999999985</v>
      </c>
      <c r="F8" s="25">
        <f t="shared" si="0"/>
        <v>14524.8</v>
      </c>
      <c r="G8" s="25">
        <f t="shared" si="0"/>
        <v>20513.7</v>
      </c>
      <c r="H8" s="25">
        <f t="shared" si="0"/>
        <v>27479.8</v>
      </c>
      <c r="I8" s="25">
        <f t="shared" si="0"/>
        <v>35443.75</v>
      </c>
      <c r="J8" s="25">
        <f t="shared" si="0"/>
        <v>44427.6</v>
      </c>
      <c r="K8" s="25">
        <f t="shared" si="0"/>
        <v>54455.1</v>
      </c>
      <c r="L8" s="25">
        <f t="shared" si="0"/>
        <v>65551.25</v>
      </c>
      <c r="M8" s="25">
        <f t="shared" si="0"/>
        <v>77738.899999999994</v>
      </c>
      <c r="N8" s="25">
        <f t="shared" si="0"/>
        <v>91046.15</v>
      </c>
      <c r="O8" s="25">
        <f t="shared" si="0"/>
        <v>105496.8</v>
      </c>
      <c r="P8" s="25">
        <f t="shared" si="0"/>
        <v>121114.35</v>
      </c>
      <c r="Q8" s="25">
        <f t="shared" si="0"/>
        <v>137923.85</v>
      </c>
      <c r="R8" s="25">
        <f t="shared" si="0"/>
        <v>155948.04999999999</v>
      </c>
      <c r="S8" s="25">
        <f t="shared" si="0"/>
        <v>175205.4</v>
      </c>
      <c r="T8" s="25">
        <f t="shared" si="0"/>
        <v>195721.9</v>
      </c>
      <c r="U8" s="25">
        <f t="shared" si="0"/>
        <v>217519.25</v>
      </c>
      <c r="V8" s="25">
        <f t="shared" si="0"/>
        <v>240611.6</v>
      </c>
      <c r="W8" s="25">
        <f t="shared" si="0"/>
        <v>265019.90000000002</v>
      </c>
      <c r="X8" s="25">
        <f t="shared" si="0"/>
        <v>290761.55</v>
      </c>
      <c r="Y8" s="25">
        <f t="shared" si="0"/>
        <v>317849.65000000002</v>
      </c>
      <c r="Z8" s="25">
        <f t="shared" si="0"/>
        <v>346297.15</v>
      </c>
      <c r="AA8" s="25">
        <f t="shared" si="0"/>
        <v>376118.85</v>
      </c>
      <c r="AB8" s="25">
        <f t="shared" si="0"/>
        <v>407323.55</v>
      </c>
      <c r="AC8" s="25">
        <f t="shared" si="0"/>
        <v>439921.9</v>
      </c>
      <c r="AD8" s="25">
        <f t="shared" si="0"/>
        <v>473922.7</v>
      </c>
      <c r="AE8" s="25">
        <f t="shared" si="0"/>
        <v>509334.45</v>
      </c>
      <c r="AF8" s="25">
        <f t="shared" si="0"/>
        <v>546161.65</v>
      </c>
      <c r="AG8" s="25">
        <f t="shared" si="0"/>
        <v>584412.94999999995</v>
      </c>
      <c r="AH8" s="25">
        <f t="shared" si="0"/>
        <v>624088.85</v>
      </c>
      <c r="AI8" s="25">
        <f t="shared" si="0"/>
        <v>665196</v>
      </c>
      <c r="AJ8" s="25">
        <f t="shared" si="0"/>
        <v>707732.9</v>
      </c>
      <c r="AK8" s="25">
        <f t="shared" si="0"/>
        <v>751700.35</v>
      </c>
      <c r="AL8" s="25">
        <f t="shared" si="0"/>
        <v>797102.85</v>
      </c>
    </row>
    <row r="9" spans="1:38" x14ac:dyDescent="0.2">
      <c r="A9" s="3" t="s">
        <v>200</v>
      </c>
      <c r="B9" s="4"/>
      <c r="C9" s="4"/>
      <c r="D9" s="4"/>
      <c r="E9" s="4"/>
    </row>
    <row r="10" spans="1:38" x14ac:dyDescent="0.2">
      <c r="A10" s="6" t="s">
        <v>201</v>
      </c>
      <c r="B10" s="6" t="s">
        <v>152</v>
      </c>
      <c r="C10" s="21">
        <f>Assumptions!B47</f>
        <v>9</v>
      </c>
      <c r="D10" s="21">
        <f>Assumptions!B47</f>
        <v>9</v>
      </c>
      <c r="E10" s="21">
        <f>Assumptions!B47</f>
        <v>9</v>
      </c>
      <c r="F10" s="21">
        <f>Assumptions!B47</f>
        <v>9</v>
      </c>
      <c r="G10" s="21">
        <f>Assumptions!B47</f>
        <v>9</v>
      </c>
      <c r="H10" s="21">
        <f>Assumptions!B47</f>
        <v>9</v>
      </c>
      <c r="I10" s="21">
        <f>Assumptions!C47</f>
        <v>12</v>
      </c>
      <c r="J10" s="21">
        <f>Assumptions!C47</f>
        <v>12</v>
      </c>
      <c r="K10" s="21">
        <f>Assumptions!C47</f>
        <v>12</v>
      </c>
      <c r="L10" s="21">
        <f>Assumptions!C47</f>
        <v>12</v>
      </c>
      <c r="M10" s="21">
        <f>Assumptions!C47</f>
        <v>12</v>
      </c>
      <c r="N10" s="21">
        <f>Assumptions!C47</f>
        <v>12</v>
      </c>
      <c r="O10" s="21">
        <f>Assumptions!C47</f>
        <v>12</v>
      </c>
      <c r="P10" s="21">
        <f>Assumptions!C47</f>
        <v>12</v>
      </c>
      <c r="Q10" s="21">
        <f>Assumptions!C47</f>
        <v>12</v>
      </c>
      <c r="R10" s="21">
        <f>Assumptions!C47</f>
        <v>12</v>
      </c>
      <c r="S10" s="21">
        <f>Assumptions!C47</f>
        <v>12</v>
      </c>
      <c r="T10" s="21">
        <f>Assumptions!C47</f>
        <v>12</v>
      </c>
      <c r="U10" s="21">
        <f>Assumptions!D47</f>
        <v>18</v>
      </c>
      <c r="V10" s="21">
        <f>Assumptions!D47</f>
        <v>18</v>
      </c>
      <c r="W10" s="21">
        <f>Assumptions!D47</f>
        <v>18</v>
      </c>
      <c r="X10" s="21">
        <f>Assumptions!D47</f>
        <v>18</v>
      </c>
      <c r="Y10" s="21">
        <f>Assumptions!D47</f>
        <v>18</v>
      </c>
      <c r="Z10" s="21">
        <f>Assumptions!D47</f>
        <v>18</v>
      </c>
      <c r="AA10" s="21">
        <f>Assumptions!D47</f>
        <v>18</v>
      </c>
      <c r="AB10" s="21">
        <f>Assumptions!D47</f>
        <v>18</v>
      </c>
      <c r="AC10" s="21">
        <f>Assumptions!D47</f>
        <v>18</v>
      </c>
      <c r="AD10" s="21">
        <f>Assumptions!D47</f>
        <v>18</v>
      </c>
      <c r="AE10" s="21">
        <f>Assumptions!D47</f>
        <v>18</v>
      </c>
      <c r="AF10" s="21">
        <f>Assumptions!D47</f>
        <v>18</v>
      </c>
      <c r="AG10" s="21">
        <f>Assumptions!D47</f>
        <v>18</v>
      </c>
      <c r="AH10" s="21">
        <f>Assumptions!D47</f>
        <v>18</v>
      </c>
      <c r="AI10" s="21">
        <f>Assumptions!D47</f>
        <v>18</v>
      </c>
      <c r="AJ10" s="21">
        <f>Assumptions!D47</f>
        <v>18</v>
      </c>
      <c r="AK10" s="21">
        <f>Assumptions!D47</f>
        <v>18</v>
      </c>
      <c r="AL10" s="21">
        <f>Assumptions!D47</f>
        <v>18</v>
      </c>
    </row>
    <row r="11" spans="1:38" x14ac:dyDescent="0.2">
      <c r="A11" s="17" t="s">
        <v>202</v>
      </c>
      <c r="B11" s="17" t="s">
        <v>180</v>
      </c>
      <c r="C11" s="25">
        <f>C10*Assumptions!$B$48/12</f>
        <v>112500</v>
      </c>
      <c r="D11" s="25">
        <f>D10*Assumptions!$B$48/12</f>
        <v>112500</v>
      </c>
      <c r="E11" s="25">
        <f>E10*Assumptions!$B$48/12</f>
        <v>112500</v>
      </c>
      <c r="F11" s="25">
        <f>F10*Assumptions!$B$48/12</f>
        <v>112500</v>
      </c>
      <c r="G11" s="25">
        <f>G10*Assumptions!$B$48/12</f>
        <v>112500</v>
      </c>
      <c r="H11" s="25">
        <f>H10*Assumptions!$B$48/12</f>
        <v>112500</v>
      </c>
      <c r="I11" s="25">
        <f>I10*Assumptions!$B$48/12</f>
        <v>150000</v>
      </c>
      <c r="J11" s="25">
        <f>J10*Assumptions!$B$48/12</f>
        <v>150000</v>
      </c>
      <c r="K11" s="25">
        <f>K10*Assumptions!$B$48/12</f>
        <v>150000</v>
      </c>
      <c r="L11" s="25">
        <f>L10*Assumptions!$B$48/12</f>
        <v>150000</v>
      </c>
      <c r="M11" s="25">
        <f>M10*Assumptions!$B$48/12</f>
        <v>150000</v>
      </c>
      <c r="N11" s="25">
        <f>N10*Assumptions!$B$48/12</f>
        <v>150000</v>
      </c>
      <c r="O11" s="25">
        <f>O10*Assumptions!$B$48/12</f>
        <v>150000</v>
      </c>
      <c r="P11" s="25">
        <f>P10*Assumptions!$B$48/12</f>
        <v>150000</v>
      </c>
      <c r="Q11" s="25">
        <f>Q10*Assumptions!$B$48/12</f>
        <v>150000</v>
      </c>
      <c r="R11" s="25">
        <f>R10*Assumptions!$B$48/12</f>
        <v>150000</v>
      </c>
      <c r="S11" s="25">
        <f>S10*Assumptions!$B$48/12</f>
        <v>150000</v>
      </c>
      <c r="T11" s="25">
        <f>T10*Assumptions!$B$48/12</f>
        <v>150000</v>
      </c>
      <c r="U11" s="25">
        <f>U10*Assumptions!$B$48/12</f>
        <v>225000</v>
      </c>
      <c r="V11" s="25">
        <f>V10*Assumptions!$B$48/12</f>
        <v>225000</v>
      </c>
      <c r="W11" s="25">
        <f>W10*Assumptions!$B$48/12</f>
        <v>225000</v>
      </c>
      <c r="X11" s="25">
        <f>X10*Assumptions!$B$48/12</f>
        <v>225000</v>
      </c>
      <c r="Y11" s="25">
        <f>Y10*Assumptions!$B$48/12</f>
        <v>225000</v>
      </c>
      <c r="Z11" s="25">
        <f>Z10*Assumptions!$B$48/12</f>
        <v>225000</v>
      </c>
      <c r="AA11" s="25">
        <f>AA10*Assumptions!$B$48/12</f>
        <v>225000</v>
      </c>
      <c r="AB11" s="25">
        <f>AB10*Assumptions!$B$48/12</f>
        <v>225000</v>
      </c>
      <c r="AC11" s="25">
        <f>AC10*Assumptions!$B$48/12</f>
        <v>225000</v>
      </c>
      <c r="AD11" s="25">
        <f>AD10*Assumptions!$B$48/12</f>
        <v>225000</v>
      </c>
      <c r="AE11" s="25">
        <f>AE10*Assumptions!$B$48/12</f>
        <v>225000</v>
      </c>
      <c r="AF11" s="25">
        <f>AF10*Assumptions!$B$48/12</f>
        <v>225000</v>
      </c>
      <c r="AG11" s="25">
        <f>AG10*Assumptions!$B$48/12</f>
        <v>225000</v>
      </c>
      <c r="AH11" s="25">
        <f>AH10*Assumptions!$B$48/12</f>
        <v>225000</v>
      </c>
      <c r="AI11" s="25">
        <f>AI10*Assumptions!$B$48/12</f>
        <v>225000</v>
      </c>
      <c r="AJ11" s="25">
        <f>AJ10*Assumptions!$B$48/12</f>
        <v>225000</v>
      </c>
      <c r="AK11" s="25">
        <f>AK10*Assumptions!$B$48/12</f>
        <v>225000</v>
      </c>
      <c r="AL11" s="25">
        <f>AL10*Assumptions!$B$48/12</f>
        <v>225000</v>
      </c>
    </row>
    <row r="12" spans="1:38" x14ac:dyDescent="0.2">
      <c r="A12" s="3" t="s">
        <v>203</v>
      </c>
      <c r="B12" s="4"/>
      <c r="C12" s="4"/>
      <c r="D12" s="4"/>
      <c r="E12" s="4"/>
    </row>
    <row r="13" spans="1:38" x14ac:dyDescent="0.2">
      <c r="A13" s="6" t="s">
        <v>204</v>
      </c>
      <c r="B13" s="6" t="s">
        <v>180</v>
      </c>
      <c r="C13" s="24">
        <f>Assumptions!$B$58+'User Growth'!C28*Assumptions!$B$65</f>
        <v>10192.780000000001</v>
      </c>
      <c r="D13" s="24">
        <f>Assumptions!$B$58+'User Growth'!D28*Assumptions!$B$65</f>
        <v>10402.18</v>
      </c>
      <c r="E13" s="24">
        <f>Assumptions!$B$58+'User Growth'!E28*Assumptions!$B$65</f>
        <v>10629.2</v>
      </c>
      <c r="F13" s="24">
        <f>Assumptions!$B$58+'User Growth'!F28*Assumptions!$B$65</f>
        <v>10874.74</v>
      </c>
      <c r="G13" s="24">
        <f>Assumptions!$B$58+'User Growth'!G28*Assumptions!$B$65</f>
        <v>11139.72</v>
      </c>
      <c r="H13" s="24">
        <f>Assumptions!$B$58+'User Growth'!H28*Assumptions!$B$65</f>
        <v>11424.98</v>
      </c>
      <c r="I13" s="24">
        <f>Assumptions!$B$58+'User Growth'!I28*Assumptions!$B$65</f>
        <v>11731.3</v>
      </c>
      <c r="J13" s="24">
        <f>Assumptions!$B$58+'User Growth'!J28*Assumptions!$B$65</f>
        <v>12059.4</v>
      </c>
      <c r="K13" s="24">
        <f>Assumptions!$B$58+'User Growth'!K28*Assumptions!$B$65</f>
        <v>12409.98</v>
      </c>
      <c r="L13" s="24">
        <f>Assumptions!$B$58+'User Growth'!L28*Assumptions!$B$65</f>
        <v>12783.66</v>
      </c>
      <c r="M13" s="24">
        <f>Assumptions!$B$58+'User Growth'!M28*Assumptions!$B$65</f>
        <v>13181.02</v>
      </c>
      <c r="N13" s="24">
        <f>Assumptions!$B$58+'User Growth'!N28*Assumptions!$B$65</f>
        <v>13602.6</v>
      </c>
      <c r="O13" s="24">
        <f>Assumptions!$B$58+'User Growth'!O28*Assumptions!$B$65</f>
        <v>14048.86</v>
      </c>
      <c r="P13" s="24">
        <f>Assumptions!$B$58+'User Growth'!P28*Assumptions!$B$65</f>
        <v>14520.220000000001</v>
      </c>
      <c r="Q13" s="24">
        <f>Assumptions!$B$58+'User Growth'!Q28*Assumptions!$B$65</f>
        <v>15017.060000000001</v>
      </c>
      <c r="R13" s="24">
        <f>Assumptions!$B$58+'User Growth'!R28*Assumptions!$B$65</f>
        <v>15539.7</v>
      </c>
      <c r="S13" s="24">
        <f>Assumptions!$B$58+'User Growth'!S28*Assumptions!$B$65</f>
        <v>16088.380000000001</v>
      </c>
      <c r="T13" s="24">
        <f>Assumptions!$B$58+'User Growth'!T28*Assumptions!$B$65</f>
        <v>16663.36</v>
      </c>
      <c r="U13" s="24">
        <f>Assumptions!$B$58+'User Growth'!U28*Assumptions!$B$65</f>
        <v>17264.82</v>
      </c>
      <c r="V13" s="24">
        <f>Assumptions!$B$58+'User Growth'!V28*Assumptions!$B$65</f>
        <v>17892.919999999998</v>
      </c>
      <c r="W13" s="24">
        <f>Assumptions!$B$58+'User Growth'!W28*Assumptions!$B$65</f>
        <v>18547.739999999998</v>
      </c>
      <c r="X13" s="24">
        <f>Assumptions!$B$58+'User Growth'!X28*Assumptions!$B$65</f>
        <v>19229.38</v>
      </c>
      <c r="Y13" s="24">
        <f>Assumptions!$B$58+'User Growth'!Y28*Assumptions!$B$65</f>
        <v>19937.86</v>
      </c>
      <c r="Z13" s="24">
        <f>Assumptions!$B$58+'User Growth'!Z28*Assumptions!$B$65</f>
        <v>20673.18</v>
      </c>
      <c r="AA13" s="24">
        <f>Assumptions!$B$58+'User Growth'!AA28*Assumptions!$B$65</f>
        <v>21435.34</v>
      </c>
      <c r="AB13" s="24">
        <f>Assumptions!$B$58+'User Growth'!AB28*Assumptions!$B$65</f>
        <v>22224.28</v>
      </c>
      <c r="AC13" s="24">
        <f>Assumptions!$B$58+'User Growth'!AC28*Assumptions!$B$65</f>
        <v>23039.940000000002</v>
      </c>
      <c r="AD13" s="24">
        <f>Assumptions!$B$58+'User Growth'!AD28*Assumptions!$B$65</f>
        <v>23882.260000000002</v>
      </c>
      <c r="AE13" s="24">
        <f>Assumptions!$B$58+'User Growth'!AE28*Assumptions!$B$65</f>
        <v>24751.14</v>
      </c>
      <c r="AF13" s="24">
        <f>Assumptions!$B$58+'User Growth'!AF28*Assumptions!$B$65</f>
        <v>25646.440000000002</v>
      </c>
      <c r="AG13" s="24">
        <f>Assumptions!$B$58+'User Growth'!AG28*Assumptions!$B$65</f>
        <v>26568.080000000002</v>
      </c>
      <c r="AH13" s="24">
        <f>Assumptions!$B$58+'User Growth'!AH28*Assumptions!$B$65</f>
        <v>27515.88</v>
      </c>
      <c r="AI13" s="24">
        <f>Assumptions!$B$58+'User Growth'!AI28*Assumptions!$B$65</f>
        <v>28489.74</v>
      </c>
      <c r="AJ13" s="24">
        <f>Assumptions!$B$58+'User Growth'!AJ28*Assumptions!$B$65</f>
        <v>29489.46</v>
      </c>
      <c r="AK13" s="24">
        <f>Assumptions!$B$58+'User Growth'!AK28*Assumptions!$B$65</f>
        <v>30514.9</v>
      </c>
      <c r="AL13" s="24">
        <f>Assumptions!$B$58+'User Growth'!AL28*Assumptions!$B$65</f>
        <v>31565.920000000002</v>
      </c>
    </row>
    <row r="14" spans="1:38" x14ac:dyDescent="0.2">
      <c r="A14" s="6" t="s">
        <v>205</v>
      </c>
      <c r="B14" s="6" t="s">
        <v>180</v>
      </c>
      <c r="C14" s="24">
        <f>Assumptions!$B$59+'User Growth'!C28*Assumptions!$B$66</f>
        <v>5096.3900000000003</v>
      </c>
      <c r="D14" s="24">
        <f>Assumptions!$B$59+'User Growth'!D28*Assumptions!$B$66</f>
        <v>5201.09</v>
      </c>
      <c r="E14" s="24">
        <f>Assumptions!$B$59+'User Growth'!E28*Assumptions!$B$66</f>
        <v>5314.6</v>
      </c>
      <c r="F14" s="24">
        <f>Assumptions!$B$59+'User Growth'!F28*Assumptions!$B$66</f>
        <v>5437.37</v>
      </c>
      <c r="G14" s="24">
        <f>Assumptions!$B$59+'User Growth'!G28*Assumptions!$B$66</f>
        <v>5569.86</v>
      </c>
      <c r="H14" s="24">
        <f>Assumptions!$B$59+'User Growth'!H28*Assumptions!$B$66</f>
        <v>5712.49</v>
      </c>
      <c r="I14" s="24">
        <f>Assumptions!$B$59+'User Growth'!I28*Assumptions!$B$66</f>
        <v>5865.65</v>
      </c>
      <c r="J14" s="24">
        <f>Assumptions!$B$59+'User Growth'!J28*Assumptions!$B$66</f>
        <v>6029.7</v>
      </c>
      <c r="K14" s="24">
        <f>Assumptions!$B$59+'User Growth'!K28*Assumptions!$B$66</f>
        <v>6204.99</v>
      </c>
      <c r="L14" s="24">
        <f>Assumptions!$B$59+'User Growth'!L28*Assumptions!$B$66</f>
        <v>6391.83</v>
      </c>
      <c r="M14" s="24">
        <f>Assumptions!$B$59+'User Growth'!M28*Assumptions!$B$66</f>
        <v>6590.51</v>
      </c>
      <c r="N14" s="24">
        <f>Assumptions!$B$59+'User Growth'!N28*Assumptions!$B$66</f>
        <v>6801.3</v>
      </c>
      <c r="O14" s="24">
        <f>Assumptions!$B$59+'User Growth'!O28*Assumptions!$B$66</f>
        <v>7024.43</v>
      </c>
      <c r="P14" s="24">
        <f>Assumptions!$B$59+'User Growth'!P28*Assumptions!$B$66</f>
        <v>7260.1100000000006</v>
      </c>
      <c r="Q14" s="24">
        <f>Assumptions!$B$59+'User Growth'!Q28*Assumptions!$B$66</f>
        <v>7508.5300000000007</v>
      </c>
      <c r="R14" s="24">
        <f>Assumptions!$B$59+'User Growth'!R28*Assumptions!$B$66</f>
        <v>7769.85</v>
      </c>
      <c r="S14" s="24">
        <f>Assumptions!$B$59+'User Growth'!S28*Assumptions!$B$66</f>
        <v>8044.1900000000005</v>
      </c>
      <c r="T14" s="24">
        <f>Assumptions!$B$59+'User Growth'!T28*Assumptions!$B$66</f>
        <v>8331.68</v>
      </c>
      <c r="U14" s="24">
        <f>Assumptions!$B$59+'User Growth'!U28*Assumptions!$B$66</f>
        <v>8632.41</v>
      </c>
      <c r="V14" s="24">
        <f>Assumptions!$B$59+'User Growth'!V28*Assumptions!$B$66</f>
        <v>8946.4599999999991</v>
      </c>
      <c r="W14" s="24">
        <f>Assumptions!$B$59+'User Growth'!W28*Assumptions!$B$66</f>
        <v>9273.869999999999</v>
      </c>
      <c r="X14" s="24">
        <f>Assumptions!$B$59+'User Growth'!X28*Assumptions!$B$66</f>
        <v>9614.69</v>
      </c>
      <c r="Y14" s="24">
        <f>Assumptions!$B$59+'User Growth'!Y28*Assumptions!$B$66</f>
        <v>9968.93</v>
      </c>
      <c r="Z14" s="24">
        <f>Assumptions!$B$59+'User Growth'!Z28*Assumptions!$B$66</f>
        <v>10336.59</v>
      </c>
      <c r="AA14" s="24">
        <f>Assumptions!$B$59+'User Growth'!AA28*Assumptions!$B$66</f>
        <v>10717.67</v>
      </c>
      <c r="AB14" s="24">
        <f>Assumptions!$B$59+'User Growth'!AB28*Assumptions!$B$66</f>
        <v>11112.14</v>
      </c>
      <c r="AC14" s="24">
        <f>Assumptions!$B$59+'User Growth'!AC28*Assumptions!$B$66</f>
        <v>11519.970000000001</v>
      </c>
      <c r="AD14" s="24">
        <f>Assumptions!$B$59+'User Growth'!AD28*Assumptions!$B$66</f>
        <v>11941.130000000001</v>
      </c>
      <c r="AE14" s="24">
        <f>Assumptions!$B$59+'User Growth'!AE28*Assumptions!$B$66</f>
        <v>12375.57</v>
      </c>
      <c r="AF14" s="24">
        <f>Assumptions!$B$59+'User Growth'!AF28*Assumptions!$B$66</f>
        <v>12823.220000000001</v>
      </c>
      <c r="AG14" s="24">
        <f>Assumptions!$B$59+'User Growth'!AG28*Assumptions!$B$66</f>
        <v>13284.04</v>
      </c>
      <c r="AH14" s="24">
        <f>Assumptions!$B$59+'User Growth'!AH28*Assumptions!$B$66</f>
        <v>13757.94</v>
      </c>
      <c r="AI14" s="24">
        <f>Assumptions!$B$59+'User Growth'!AI28*Assumptions!$B$66</f>
        <v>14244.87</v>
      </c>
      <c r="AJ14" s="24">
        <f>Assumptions!$B$59+'User Growth'!AJ28*Assumptions!$B$66</f>
        <v>14744.73</v>
      </c>
      <c r="AK14" s="24">
        <f>Assumptions!$B$59+'User Growth'!AK28*Assumptions!$B$66</f>
        <v>15257.45</v>
      </c>
      <c r="AL14" s="24">
        <f>Assumptions!$B$59+'User Growth'!AL28*Assumptions!$B$66</f>
        <v>15782.960000000001</v>
      </c>
    </row>
    <row r="15" spans="1:38" x14ac:dyDescent="0.2">
      <c r="A15" s="6" t="s">
        <v>206</v>
      </c>
      <c r="B15" s="6" t="s">
        <v>180</v>
      </c>
      <c r="C15" s="24">
        <f>Assumptions!$B$60</f>
        <v>4000</v>
      </c>
      <c r="D15" s="24">
        <f>Assumptions!$B$60</f>
        <v>4000</v>
      </c>
      <c r="E15" s="24">
        <f>Assumptions!$B$60</f>
        <v>4000</v>
      </c>
      <c r="F15" s="24">
        <f>Assumptions!$B$60</f>
        <v>4000</v>
      </c>
      <c r="G15" s="24">
        <f>Assumptions!$B$60</f>
        <v>4000</v>
      </c>
      <c r="H15" s="24">
        <f>Assumptions!$B$60</f>
        <v>4000</v>
      </c>
      <c r="I15" s="24">
        <f>Assumptions!$B$60</f>
        <v>4000</v>
      </c>
      <c r="J15" s="24">
        <f>Assumptions!$B$60</f>
        <v>4000</v>
      </c>
      <c r="K15" s="24">
        <f>Assumptions!$B$60</f>
        <v>4000</v>
      </c>
      <c r="L15" s="24">
        <f>Assumptions!$B$60</f>
        <v>4000</v>
      </c>
      <c r="M15" s="24">
        <f>Assumptions!$B$60</f>
        <v>4000</v>
      </c>
      <c r="N15" s="24">
        <f>Assumptions!$B$60</f>
        <v>4000</v>
      </c>
      <c r="O15" s="24">
        <f>Assumptions!$B$60</f>
        <v>4000</v>
      </c>
      <c r="P15" s="24">
        <f>Assumptions!$B$60</f>
        <v>4000</v>
      </c>
      <c r="Q15" s="24">
        <f>Assumptions!$B$60</f>
        <v>4000</v>
      </c>
      <c r="R15" s="24">
        <f>Assumptions!$B$60</f>
        <v>4000</v>
      </c>
      <c r="S15" s="24">
        <f>Assumptions!$B$60</f>
        <v>4000</v>
      </c>
      <c r="T15" s="24">
        <f>Assumptions!$B$60</f>
        <v>4000</v>
      </c>
      <c r="U15" s="24">
        <f>Assumptions!$B$60</f>
        <v>4000</v>
      </c>
      <c r="V15" s="24">
        <f>Assumptions!$B$60</f>
        <v>4000</v>
      </c>
      <c r="W15" s="24">
        <f>Assumptions!$B$60</f>
        <v>4000</v>
      </c>
      <c r="X15" s="24">
        <f>Assumptions!$B$60</f>
        <v>4000</v>
      </c>
      <c r="Y15" s="24">
        <f>Assumptions!$B$60</f>
        <v>4000</v>
      </c>
      <c r="Z15" s="24">
        <f>Assumptions!$B$60</f>
        <v>4000</v>
      </c>
      <c r="AA15" s="24">
        <f>Assumptions!$B$60</f>
        <v>4000</v>
      </c>
      <c r="AB15" s="24">
        <f>Assumptions!$B$60</f>
        <v>4000</v>
      </c>
      <c r="AC15" s="24">
        <f>Assumptions!$B$60</f>
        <v>4000</v>
      </c>
      <c r="AD15" s="24">
        <f>Assumptions!$B$60</f>
        <v>4000</v>
      </c>
      <c r="AE15" s="24">
        <f>Assumptions!$B$60</f>
        <v>4000</v>
      </c>
      <c r="AF15" s="24">
        <f>Assumptions!$B$60</f>
        <v>4000</v>
      </c>
      <c r="AG15" s="24">
        <f>Assumptions!$B$60</f>
        <v>4000</v>
      </c>
      <c r="AH15" s="24">
        <f>Assumptions!$B$60</f>
        <v>4000</v>
      </c>
      <c r="AI15" s="24">
        <f>Assumptions!$B$60</f>
        <v>4000</v>
      </c>
      <c r="AJ15" s="24">
        <f>Assumptions!$B$60</f>
        <v>4000</v>
      </c>
      <c r="AK15" s="24">
        <f>Assumptions!$B$60</f>
        <v>4000</v>
      </c>
      <c r="AL15" s="24">
        <f>Assumptions!$B$60</f>
        <v>4000</v>
      </c>
    </row>
    <row r="16" spans="1:38" x14ac:dyDescent="0.2">
      <c r="A16" s="6" t="s">
        <v>66</v>
      </c>
      <c r="B16" s="6" t="s">
        <v>180</v>
      </c>
      <c r="C16" s="24">
        <f>MAX(5000, Revenue!C16*Assumptions!$B$61)</f>
        <v>5000</v>
      </c>
      <c r="D16" s="24">
        <f>MAX(5000, Revenue!D16*Assumptions!$B$61)</f>
        <v>5000</v>
      </c>
      <c r="E16" s="24">
        <f>MAX(5000, Revenue!E16*Assumptions!$B$61)</f>
        <v>6365.4291749999993</v>
      </c>
      <c r="F16" s="24">
        <f>MAX(5000, Revenue!F16*Assumptions!$B$61)</f>
        <v>10689.640875000001</v>
      </c>
      <c r="G16" s="24">
        <f>MAX(5000, Revenue!G16*Assumptions!$B$61)</f>
        <v>16164.171899999998</v>
      </c>
      <c r="H16" s="24">
        <f>MAX(5000, Revenue!H16*Assumptions!$B$61)</f>
        <v>22824.345974999997</v>
      </c>
      <c r="I16" s="24">
        <f>MAX(5000, Revenue!I16*Assumptions!$B$61)</f>
        <v>30710.1345</v>
      </c>
      <c r="J16" s="24">
        <f>MAX(5000, Revenue!J16*Assumptions!$B$61)</f>
        <v>39857.786549999997</v>
      </c>
      <c r="K16" s="24">
        <f>MAX(5000, Revenue!K16*Assumptions!$B$61)</f>
        <v>50310.988874999995</v>
      </c>
      <c r="L16" s="24">
        <f>MAX(5000, Revenue!L16*Assumptions!$B$61)</f>
        <v>62109.705899999994</v>
      </c>
      <c r="M16" s="24">
        <f>MAX(5000, Revenue!M16*Assumptions!$B$61)</f>
        <v>75297.624374999985</v>
      </c>
      <c r="N16" s="24">
        <f>MAX(5000, Revenue!N16*Assumptions!$B$61)</f>
        <v>89921.214074999996</v>
      </c>
      <c r="O16" s="24">
        <f>MAX(5000, Revenue!O16*Assumptions!$B$61)</f>
        <v>106023.229425</v>
      </c>
      <c r="P16" s="24">
        <f>MAX(5000, Revenue!P16*Assumptions!$B$61)</f>
        <v>123646.42485</v>
      </c>
      <c r="Q16" s="24">
        <f>MAX(5000, Revenue!Q16*Assumptions!$B$61)</f>
        <v>142832.62244999997</v>
      </c>
      <c r="R16" s="24">
        <f>MAX(5000, Revenue!R16*Assumptions!$B$61)</f>
        <v>163627.36664999998</v>
      </c>
      <c r="S16" s="24">
        <f>MAX(5000, Revenue!S16*Assumptions!$B$61)</f>
        <v>186061.32652499998</v>
      </c>
      <c r="T16" s="24">
        <f>MAX(5000, Revenue!T16*Assumptions!$B$61)</f>
        <v>210186.55184999999</v>
      </c>
      <c r="U16" s="24">
        <f>MAX(5000, Revenue!U16*Assumptions!$B$61)</f>
        <v>236043.00704999999</v>
      </c>
      <c r="V16" s="24">
        <f>MAX(5000, Revenue!V16*Assumptions!$B$61)</f>
        <v>263660.43584999995</v>
      </c>
      <c r="W16" s="24">
        <f>MAX(5000, Revenue!W16*Assumptions!$B$61)</f>
        <v>293081.59267499996</v>
      </c>
      <c r="X16" s="24">
        <f>MAX(5000, Revenue!X16*Assumptions!$B$61)</f>
        <v>324337.14659999998</v>
      </c>
      <c r="Y16" s="24">
        <f>MAX(5000, Revenue!Y16*Assumptions!$B$61)</f>
        <v>357459.63134999998</v>
      </c>
      <c r="Z16" s="24">
        <f>MAX(5000, Revenue!Z16*Assumptions!$B$61)</f>
        <v>392481.58065000002</v>
      </c>
      <c r="AA16" s="24">
        <f>MAX(5000, Revenue!AA16*Assumptions!$B$61)</f>
        <v>429431.80589999998</v>
      </c>
      <c r="AB16" s="24">
        <f>MAX(5000, Revenue!AB16*Assumptions!$B$61)</f>
        <v>468336.33547499997</v>
      </c>
      <c r="AC16" s="24">
        <f>MAX(5000, Revenue!AC16*Assumptions!$B$61)</f>
        <v>509223.05542499991</v>
      </c>
      <c r="AD16" s="24">
        <f>MAX(5000, Revenue!AD16*Assumptions!$B$61)</f>
        <v>552112.41412500001</v>
      </c>
      <c r="AE16" s="24">
        <f>MAX(5000, Revenue!AE16*Assumptions!$B$61)</f>
        <v>597033.22995000007</v>
      </c>
      <c r="AF16" s="24">
        <f>MAX(5000, Revenue!AF16*Assumptions!$B$61)</f>
        <v>643999.44592499989</v>
      </c>
      <c r="AG16" s="24">
        <f>MAX(5000, Revenue!AG16*Assumptions!$B$61)</f>
        <v>693037.09042499994</v>
      </c>
      <c r="AH16" s="24">
        <f>MAX(5000, Revenue!AH16*Assumptions!$B$61)</f>
        <v>744150.81112500001</v>
      </c>
      <c r="AI16" s="24">
        <f>MAX(5000, Revenue!AI16*Assumptions!$B$61)</f>
        <v>797370.35872499994</v>
      </c>
      <c r="AJ16" s="24">
        <f>MAX(5000, Revenue!AJ16*Assumptions!$B$61)</f>
        <v>852698.5232249999</v>
      </c>
      <c r="AK16" s="24">
        <f>MAX(5000, Revenue!AK16*Assumptions!$B$61)</f>
        <v>910148.32229999988</v>
      </c>
      <c r="AL16" s="24">
        <f>MAX(5000, Revenue!AL16*Assumptions!$B$61)</f>
        <v>969739.27897499991</v>
      </c>
    </row>
    <row r="17" spans="1:38" x14ac:dyDescent="0.2">
      <c r="A17" s="6" t="s">
        <v>207</v>
      </c>
      <c r="B17" s="6" t="s">
        <v>180</v>
      </c>
      <c r="C17" s="24">
        <f>Assumptions!$B$62</f>
        <v>0</v>
      </c>
      <c r="D17" s="24">
        <f>Assumptions!$B$62</f>
        <v>0</v>
      </c>
      <c r="E17" s="24">
        <f>Assumptions!$B$62</f>
        <v>0</v>
      </c>
      <c r="F17" s="24">
        <f>Assumptions!$B$62</f>
        <v>0</v>
      </c>
      <c r="G17" s="24">
        <f>Assumptions!$B$62</f>
        <v>0</v>
      </c>
      <c r="H17" s="24">
        <f>Assumptions!$B$62</f>
        <v>0</v>
      </c>
      <c r="I17" s="24">
        <f>Assumptions!$B$62</f>
        <v>0</v>
      </c>
      <c r="J17" s="24">
        <f>Assumptions!$B$62</f>
        <v>0</v>
      </c>
      <c r="K17" s="24">
        <f>Assumptions!$B$62</f>
        <v>0</v>
      </c>
      <c r="L17" s="24">
        <f>Assumptions!$B$62</f>
        <v>0</v>
      </c>
      <c r="M17" s="24">
        <f>Assumptions!$B$62</f>
        <v>0</v>
      </c>
      <c r="N17" s="24">
        <f>Assumptions!$B$62</f>
        <v>0</v>
      </c>
      <c r="O17" s="24">
        <f>Assumptions!$B$62</f>
        <v>0</v>
      </c>
      <c r="P17" s="24">
        <f>Assumptions!$B$62</f>
        <v>0</v>
      </c>
      <c r="Q17" s="24">
        <f>Assumptions!$B$62</f>
        <v>0</v>
      </c>
      <c r="R17" s="24">
        <f>Assumptions!$B$62</f>
        <v>0</v>
      </c>
      <c r="S17" s="24">
        <f>Assumptions!$B$62</f>
        <v>0</v>
      </c>
      <c r="T17" s="24">
        <f>Assumptions!$B$62</f>
        <v>0</v>
      </c>
      <c r="U17" s="24">
        <f>Assumptions!$B$62</f>
        <v>0</v>
      </c>
      <c r="V17" s="24">
        <f>Assumptions!$B$62</f>
        <v>0</v>
      </c>
      <c r="W17" s="24">
        <f>Assumptions!$B$62</f>
        <v>0</v>
      </c>
      <c r="X17" s="24">
        <f>Assumptions!$B$62</f>
        <v>0</v>
      </c>
      <c r="Y17" s="24">
        <f>Assumptions!$B$62</f>
        <v>0</v>
      </c>
      <c r="Z17" s="24">
        <f>Assumptions!$B$62</f>
        <v>0</v>
      </c>
      <c r="AA17" s="24">
        <f>Assumptions!$B$62</f>
        <v>0</v>
      </c>
      <c r="AB17" s="24">
        <f>Assumptions!$B$62</f>
        <v>0</v>
      </c>
      <c r="AC17" s="24">
        <f>Assumptions!$B$62</f>
        <v>0</v>
      </c>
      <c r="AD17" s="24">
        <f>Assumptions!$B$62</f>
        <v>0</v>
      </c>
      <c r="AE17" s="24">
        <f>Assumptions!$B$62</f>
        <v>0</v>
      </c>
      <c r="AF17" s="24">
        <f>Assumptions!$B$62</f>
        <v>0</v>
      </c>
      <c r="AG17" s="24">
        <f>Assumptions!$B$62</f>
        <v>0</v>
      </c>
      <c r="AH17" s="24">
        <f>Assumptions!$B$62</f>
        <v>0</v>
      </c>
      <c r="AI17" s="24">
        <f>Assumptions!$B$62</f>
        <v>0</v>
      </c>
      <c r="AJ17" s="24">
        <f>Assumptions!$B$62</f>
        <v>0</v>
      </c>
      <c r="AK17" s="24">
        <f>Assumptions!$B$62</f>
        <v>0</v>
      </c>
      <c r="AL17" s="24">
        <f>Assumptions!$B$62</f>
        <v>0</v>
      </c>
    </row>
    <row r="18" spans="1:38" x14ac:dyDescent="0.2">
      <c r="A18" s="17" t="s">
        <v>208</v>
      </c>
      <c r="B18" s="17" t="s">
        <v>180</v>
      </c>
      <c r="C18" s="25">
        <f t="shared" ref="C18:AL18" si="1">C11+C13+C14+C15+C16+C17</f>
        <v>136789.16999999998</v>
      </c>
      <c r="D18" s="25">
        <f t="shared" si="1"/>
        <v>137103.26999999999</v>
      </c>
      <c r="E18" s="25">
        <f t="shared" si="1"/>
        <v>138809.22917499999</v>
      </c>
      <c r="F18" s="25">
        <f t="shared" si="1"/>
        <v>143501.750875</v>
      </c>
      <c r="G18" s="25">
        <f t="shared" si="1"/>
        <v>149373.7519</v>
      </c>
      <c r="H18" s="25">
        <f t="shared" si="1"/>
        <v>156461.815975</v>
      </c>
      <c r="I18" s="25">
        <f t="shared" si="1"/>
        <v>202307.0845</v>
      </c>
      <c r="J18" s="25">
        <f t="shared" si="1"/>
        <v>211946.88655</v>
      </c>
      <c r="K18" s="25">
        <f t="shared" si="1"/>
        <v>222925.95887500001</v>
      </c>
      <c r="L18" s="25">
        <f t="shared" si="1"/>
        <v>235285.19589999999</v>
      </c>
      <c r="M18" s="25">
        <f t="shared" si="1"/>
        <v>249069.15437499998</v>
      </c>
      <c r="N18" s="25">
        <f t="shared" si="1"/>
        <v>264325.11407499999</v>
      </c>
      <c r="O18" s="25">
        <f t="shared" si="1"/>
        <v>281096.51942499995</v>
      </c>
      <c r="P18" s="25">
        <f t="shared" si="1"/>
        <v>299426.75485000003</v>
      </c>
      <c r="Q18" s="25">
        <f t="shared" si="1"/>
        <v>319358.21244999999</v>
      </c>
      <c r="R18" s="25">
        <f t="shared" si="1"/>
        <v>340936.91665000003</v>
      </c>
      <c r="S18" s="25">
        <f t="shared" si="1"/>
        <v>364193.89652499999</v>
      </c>
      <c r="T18" s="25">
        <f t="shared" si="1"/>
        <v>389181.59184999997</v>
      </c>
      <c r="U18" s="25">
        <f t="shared" si="1"/>
        <v>490940.23705</v>
      </c>
      <c r="V18" s="25">
        <f t="shared" si="1"/>
        <v>519499.8158499999</v>
      </c>
      <c r="W18" s="25">
        <f t="shared" si="1"/>
        <v>549903.20267499995</v>
      </c>
      <c r="X18" s="25">
        <f t="shared" si="1"/>
        <v>582181.21659999993</v>
      </c>
      <c r="Y18" s="25">
        <f t="shared" si="1"/>
        <v>616366.42134999996</v>
      </c>
      <c r="Z18" s="25">
        <f t="shared" si="1"/>
        <v>652491.35065000004</v>
      </c>
      <c r="AA18" s="25">
        <f t="shared" si="1"/>
        <v>690584.81590000005</v>
      </c>
      <c r="AB18" s="25">
        <f t="shared" si="1"/>
        <v>730672.75547500001</v>
      </c>
      <c r="AC18" s="25">
        <f t="shared" si="1"/>
        <v>772782.96542499994</v>
      </c>
      <c r="AD18" s="25">
        <f t="shared" si="1"/>
        <v>816935.80412500002</v>
      </c>
      <c r="AE18" s="25">
        <f t="shared" si="1"/>
        <v>863159.93995000003</v>
      </c>
      <c r="AF18" s="25">
        <f t="shared" si="1"/>
        <v>911469.10592499992</v>
      </c>
      <c r="AG18" s="25">
        <f t="shared" si="1"/>
        <v>961889.21042499994</v>
      </c>
      <c r="AH18" s="25">
        <f t="shared" si="1"/>
        <v>1014424.6311250001</v>
      </c>
      <c r="AI18" s="25">
        <f t="shared" si="1"/>
        <v>1069104.968725</v>
      </c>
      <c r="AJ18" s="25">
        <f t="shared" si="1"/>
        <v>1125932.7132249998</v>
      </c>
      <c r="AK18" s="25">
        <f t="shared" si="1"/>
        <v>1184920.6722999997</v>
      </c>
      <c r="AL18" s="25">
        <f t="shared" si="1"/>
        <v>1246088.158975</v>
      </c>
    </row>
    <row r="19" spans="1:38" x14ac:dyDescent="0.2">
      <c r="A19" s="3" t="s">
        <v>209</v>
      </c>
      <c r="B19" s="4"/>
      <c r="C19" s="4"/>
      <c r="D19" s="4"/>
      <c r="E19" s="4"/>
    </row>
    <row r="20" spans="1:38" x14ac:dyDescent="0.2">
      <c r="A20" s="17" t="s">
        <v>210</v>
      </c>
      <c r="B20" s="17" t="s">
        <v>180</v>
      </c>
      <c r="C20" s="25">
        <f t="shared" ref="C20:AL20" si="2">C8+C18</f>
        <v>139032.37</v>
      </c>
      <c r="D20" s="25">
        <f t="shared" si="2"/>
        <v>142507.97</v>
      </c>
      <c r="E20" s="25">
        <f t="shared" si="2"/>
        <v>148303.07917499999</v>
      </c>
      <c r="F20" s="25">
        <f t="shared" si="2"/>
        <v>158026.55087499999</v>
      </c>
      <c r="G20" s="25">
        <f t="shared" si="2"/>
        <v>169887.45190000001</v>
      </c>
      <c r="H20" s="25">
        <f t="shared" si="2"/>
        <v>183941.61597499999</v>
      </c>
      <c r="I20" s="25">
        <f t="shared" si="2"/>
        <v>237750.8345</v>
      </c>
      <c r="J20" s="25">
        <f t="shared" si="2"/>
        <v>256374.48655</v>
      </c>
      <c r="K20" s="25">
        <f t="shared" si="2"/>
        <v>277381.05887499999</v>
      </c>
      <c r="L20" s="25">
        <f t="shared" si="2"/>
        <v>300836.44589999999</v>
      </c>
      <c r="M20" s="25">
        <f t="shared" si="2"/>
        <v>326808.05437499995</v>
      </c>
      <c r="N20" s="25">
        <f t="shared" si="2"/>
        <v>355371.26407499996</v>
      </c>
      <c r="O20" s="25">
        <f t="shared" si="2"/>
        <v>386593.31942499994</v>
      </c>
      <c r="P20" s="25">
        <f t="shared" si="2"/>
        <v>420541.10485</v>
      </c>
      <c r="Q20" s="25">
        <f t="shared" si="2"/>
        <v>457282.06244999997</v>
      </c>
      <c r="R20" s="25">
        <f t="shared" si="2"/>
        <v>496884.96665000002</v>
      </c>
      <c r="S20" s="25">
        <f t="shared" si="2"/>
        <v>539399.29652500001</v>
      </c>
      <c r="T20" s="25">
        <f t="shared" si="2"/>
        <v>584903.49184999999</v>
      </c>
      <c r="U20" s="25">
        <f t="shared" si="2"/>
        <v>708459.48705</v>
      </c>
      <c r="V20" s="25">
        <f t="shared" si="2"/>
        <v>760111.41584999987</v>
      </c>
      <c r="W20" s="25">
        <f t="shared" si="2"/>
        <v>814923.10267499997</v>
      </c>
      <c r="X20" s="25">
        <f t="shared" si="2"/>
        <v>872942.76659999997</v>
      </c>
      <c r="Y20" s="25">
        <f t="shared" si="2"/>
        <v>934216.07134999998</v>
      </c>
      <c r="Z20" s="25">
        <f t="shared" si="2"/>
        <v>998788.50065000006</v>
      </c>
      <c r="AA20" s="25">
        <f t="shared" si="2"/>
        <v>1066703.6658999999</v>
      </c>
      <c r="AB20" s="25">
        <f t="shared" si="2"/>
        <v>1137996.3054750001</v>
      </c>
      <c r="AC20" s="25">
        <f t="shared" si="2"/>
        <v>1212704.865425</v>
      </c>
      <c r="AD20" s="25">
        <f t="shared" si="2"/>
        <v>1290858.504125</v>
      </c>
      <c r="AE20" s="25">
        <f t="shared" si="2"/>
        <v>1372494.38995</v>
      </c>
      <c r="AF20" s="25">
        <f t="shared" si="2"/>
        <v>1457630.7559249999</v>
      </c>
      <c r="AG20" s="25">
        <f t="shared" si="2"/>
        <v>1546302.1604249999</v>
      </c>
      <c r="AH20" s="25">
        <f t="shared" si="2"/>
        <v>1638513.4811249999</v>
      </c>
      <c r="AI20" s="25">
        <f t="shared" si="2"/>
        <v>1734300.968725</v>
      </c>
      <c r="AJ20" s="25">
        <f t="shared" si="2"/>
        <v>1833665.613225</v>
      </c>
      <c r="AK20" s="25">
        <f t="shared" si="2"/>
        <v>1936621.0222999998</v>
      </c>
      <c r="AL20" s="25">
        <f t="shared" si="2"/>
        <v>2043191.0089750001</v>
      </c>
    </row>
    <row r="21" spans="1:38" x14ac:dyDescent="0.2">
      <c r="A21" s="6" t="s">
        <v>211</v>
      </c>
      <c r="B21" s="6" t="s">
        <v>180</v>
      </c>
      <c r="C21" s="26">
        <f>Revenue!C16-C8</f>
        <v>1941.5117</v>
      </c>
      <c r="D21" s="26">
        <f>Revenue!D16-D8</f>
        <v>7246.1737000000003</v>
      </c>
      <c r="E21" s="26">
        <f>Revenue!E16-E8</f>
        <v>15967.866699999999</v>
      </c>
      <c r="F21" s="26">
        <f>Revenue!F16-F8</f>
        <v>28233.763500000005</v>
      </c>
      <c r="G21" s="26">
        <f>Revenue!G16-G8</f>
        <v>44142.987599999993</v>
      </c>
      <c r="H21" s="26">
        <f>Revenue!H16-H8</f>
        <v>63817.583899999983</v>
      </c>
      <c r="I21" s="26">
        <f>Revenue!I16-I8</f>
        <v>87396.788</v>
      </c>
      <c r="J21" s="26">
        <f>Revenue!J16-J8</f>
        <v>115003.54619999998</v>
      </c>
      <c r="K21" s="26">
        <f>Revenue!K16-K8</f>
        <v>146788.85549999998</v>
      </c>
      <c r="L21" s="26">
        <f>Revenue!L16-L8</f>
        <v>182887.57359999997</v>
      </c>
      <c r="M21" s="26">
        <f>Revenue!M16-M8</f>
        <v>223451.59749999995</v>
      </c>
      <c r="N21" s="26">
        <f>Revenue!N16-N8</f>
        <v>268638.70629999996</v>
      </c>
      <c r="O21" s="26">
        <f>Revenue!O16-O8</f>
        <v>318596.1177</v>
      </c>
      <c r="P21" s="26">
        <f>Revenue!P16-P8</f>
        <v>373471.34939999995</v>
      </c>
      <c r="Q21" s="26">
        <f>Revenue!Q16-Q8</f>
        <v>433406.63979999989</v>
      </c>
      <c r="R21" s="26">
        <f>Revenue!R16-R8</f>
        <v>498561.41659999994</v>
      </c>
      <c r="S21" s="26">
        <f>Revenue!S16-S8</f>
        <v>569039.90609999991</v>
      </c>
      <c r="T21" s="26">
        <f>Revenue!T16-T8</f>
        <v>645024.30739999993</v>
      </c>
      <c r="U21" s="26">
        <f>Revenue!U16-U8</f>
        <v>726652.77819999994</v>
      </c>
      <c r="V21" s="26">
        <f>Revenue!V16-V8</f>
        <v>814030.14339999983</v>
      </c>
      <c r="W21" s="26">
        <f>Revenue!W16-W8</f>
        <v>907306.47069999983</v>
      </c>
      <c r="X21" s="26">
        <f>Revenue!X16-X8</f>
        <v>1006587.0363999999</v>
      </c>
      <c r="Y21" s="26">
        <f>Revenue!Y16-Y8</f>
        <v>1111988.8753999998</v>
      </c>
      <c r="Z21" s="26">
        <f>Revenue!Z16-Z8</f>
        <v>1223629.1726000002</v>
      </c>
      <c r="AA21" s="26">
        <f>Revenue!AA16-AA8</f>
        <v>1341608.3736</v>
      </c>
      <c r="AB21" s="26">
        <f>Revenue!AB16-AB8</f>
        <v>1466021.7918999998</v>
      </c>
      <c r="AC21" s="26">
        <f>Revenue!AC16-AC8</f>
        <v>1596970.3216999997</v>
      </c>
      <c r="AD21" s="26">
        <f>Revenue!AD16-AD8</f>
        <v>1734526.9565000001</v>
      </c>
      <c r="AE21" s="26">
        <f>Revenue!AE16-AE8</f>
        <v>1878798.4698000003</v>
      </c>
      <c r="AF21" s="26">
        <f>Revenue!AF16-AF8</f>
        <v>2029836.1336999997</v>
      </c>
      <c r="AG21" s="26">
        <f>Revenue!AG16-AG8</f>
        <v>2187735.4117000001</v>
      </c>
      <c r="AH21" s="26">
        <f>Revenue!AH16-AH8</f>
        <v>2352514.3944999999</v>
      </c>
      <c r="AI21" s="26">
        <f>Revenue!AI16-AI8</f>
        <v>2524285.4348999998</v>
      </c>
      <c r="AJ21" s="26">
        <f>Revenue!AJ16-AJ8</f>
        <v>2703061.1928999997</v>
      </c>
      <c r="AK21" s="26">
        <f>Revenue!AK16-AK8</f>
        <v>2888892.9391999994</v>
      </c>
      <c r="AL21" s="26">
        <f>Revenue!AL16-AL8</f>
        <v>3081854.2658999995</v>
      </c>
    </row>
    <row r="22" spans="1:38" x14ac:dyDescent="0.2">
      <c r="A22" s="6" t="s">
        <v>212</v>
      </c>
      <c r="B22" s="6" t="s">
        <v>175</v>
      </c>
      <c r="C22" s="30">
        <f>IF(Revenue!C16=0,0,C21/Revenue!C16)</f>
        <v>0.46395351440817301</v>
      </c>
      <c r="D22" s="30">
        <f>IF(Revenue!D16=0,0,D21/Revenue!D16)</f>
        <v>0.57278049499458683</v>
      </c>
      <c r="E22" s="30">
        <f>IF(Revenue!E16=0,0,E21/Revenue!E16)</f>
        <v>0.62713236849422649</v>
      </c>
      <c r="F22" s="30">
        <f>IF(Revenue!F16=0,0,F21/Revenue!F16)</f>
        <v>0.66030664243432791</v>
      </c>
      <c r="G22" s="30">
        <f>IF(Revenue!G16=0,0,G21/Revenue!G16)</f>
        <v>0.68272887521073689</v>
      </c>
      <c r="H22" s="30">
        <f>IF(Revenue!H16=0,0,H21/Revenue!H16)</f>
        <v>0.69900780475704294</v>
      </c>
      <c r="I22" s="30">
        <f>IF(Revenue!I16=0,0,I21/Revenue!I16)</f>
        <v>0.71146536333144361</v>
      </c>
      <c r="J22" s="30">
        <f>IF(Revenue!J16=0,0,J21/Revenue!J16)</f>
        <v>0.72133675847586665</v>
      </c>
      <c r="K22" s="30">
        <f>IF(Revenue!K16=0,0,K21/Revenue!K16)</f>
        <v>0.72940752498775041</v>
      </c>
      <c r="L22" s="30">
        <f>IF(Revenue!L16=0,0,L21/Revenue!L16)</f>
        <v>0.73614731767712327</v>
      </c>
      <c r="M22" s="30">
        <f>IF(Revenue!M16=0,0,M21/Revenue!M16)</f>
        <v>0.74189457952603566</v>
      </c>
      <c r="N22" s="30">
        <f>IF(Revenue!N16=0,0,N21/Revenue!N16)</f>
        <v>0.74687244012280085</v>
      </c>
      <c r="O22" s="30">
        <f>IF(Revenue!O16=0,0,O21/Revenue!O16)</f>
        <v>0.75124130680572321</v>
      </c>
      <c r="P22" s="30">
        <f>IF(Revenue!P16=0,0,P21/Revenue!P16)</f>
        <v>0.75511958767322163</v>
      </c>
      <c r="Q22" s="30">
        <f>IF(Revenue!Q16=0,0,Q21/Revenue!Q16)</f>
        <v>0.75859182651308943</v>
      </c>
      <c r="R22" s="30">
        <f>IF(Revenue!R16=0,0,R21/Revenue!R16)</f>
        <v>0.76173293442170054</v>
      </c>
      <c r="S22" s="30">
        <f>IF(Revenue!S16=0,0,S21/Revenue!S16)</f>
        <v>0.76458648974474197</v>
      </c>
      <c r="T22" s="30">
        <f>IF(Revenue!T16=0,0,T21/Revenue!T16)</f>
        <v>0.76720454011292161</v>
      </c>
      <c r="U22" s="30">
        <f>IF(Revenue!U16=0,0,U21/Revenue!U16)</f>
        <v>0.76961904875037901</v>
      </c>
      <c r="V22" s="30">
        <f>IF(Revenue!V16=0,0,V21/Revenue!V16)</f>
        <v>0.77185465917145868</v>
      </c>
      <c r="W22" s="30">
        <f>IF(Revenue!W16=0,0,W21/Revenue!W16)</f>
        <v>0.77393675803628315</v>
      </c>
      <c r="X22" s="30">
        <f>IF(Revenue!X16=0,0,X21/Revenue!X16)</f>
        <v>0.77588016586441777</v>
      </c>
      <c r="Y22" s="30">
        <f>IF(Revenue!Y16=0,0,Y21/Revenue!Y16)</f>
        <v>0.77770241579476174</v>
      </c>
      <c r="Z22" s="30">
        <f>IF(Revenue!Z16=0,0,Z21/Revenue!Z16)</f>
        <v>0.77941821535517208</v>
      </c>
      <c r="AA22" s="30">
        <f>IF(Revenue!AA16=0,0,AA21/Revenue!AA16)</f>
        <v>0.78103691620388205</v>
      </c>
      <c r="AB22" s="30">
        <f>IF(Revenue!AB16=0,0,AB21/Revenue!AB16)</f>
        <v>0.78256889379142403</v>
      </c>
      <c r="AC22" s="30">
        <f>IF(Revenue!AC16=0,0,AC21/Revenue!AC16)</f>
        <v>0.78402298594235931</v>
      </c>
      <c r="AD22" s="30">
        <f>IF(Revenue!AD16=0,0,AD21/Revenue!AD16)</f>
        <v>0.78540479806495422</v>
      </c>
      <c r="AE22" s="30">
        <f>IF(Revenue!AE16=0,0,AE21/Revenue!AE16)</f>
        <v>0.78672273817880478</v>
      </c>
      <c r="AF22" s="30">
        <f>IF(Revenue!AF16=0,0,AF21/Revenue!AF16)</f>
        <v>0.78798054351757707</v>
      </c>
      <c r="AG22" s="30">
        <f>IF(Revenue!AG16=0,0,AG21/Revenue!AG16)</f>
        <v>0.78918410065123179</v>
      </c>
      <c r="AH22" s="30">
        <f>IF(Revenue!AH16=0,0,AH21/Revenue!AH16)</f>
        <v>0.790335224839536</v>
      </c>
      <c r="AI22" s="30">
        <f>IF(Revenue!AI16=0,0,AI21/Revenue!AI16)</f>
        <v>0.79144070483644124</v>
      </c>
      <c r="AJ22" s="30">
        <f>IF(Revenue!AJ16=0,0,AJ21/Revenue!AJ16)</f>
        <v>0.79250201544759458</v>
      </c>
      <c r="AK22" s="30">
        <f>IF(Revenue!AK16=0,0,AK21/Revenue!AK16)</f>
        <v>0.79352256890931583</v>
      </c>
      <c r="AL22" s="30">
        <f>IF(Revenue!AL16=0,0,AL21/Revenue!AL16)</f>
        <v>0.7945058874890254</v>
      </c>
    </row>
    <row r="23" spans="1:38" x14ac:dyDescent="0.2">
      <c r="A23" s="17" t="s">
        <v>213</v>
      </c>
      <c r="B23" s="17" t="s">
        <v>180</v>
      </c>
      <c r="C23" s="27">
        <f>Revenue!C16-C20</f>
        <v>-134847.65830000001</v>
      </c>
      <c r="D23" s="27">
        <f>Revenue!D16-D20</f>
        <v>-129857.0963</v>
      </c>
      <c r="E23" s="27">
        <f>Revenue!E16-E20</f>
        <v>-122841.362475</v>
      </c>
      <c r="F23" s="27">
        <f>Revenue!F16-F20</f>
        <v>-115267.98737499998</v>
      </c>
      <c r="G23" s="27">
        <f>Revenue!G16-G20</f>
        <v>-105230.76430000002</v>
      </c>
      <c r="H23" s="27">
        <f>Revenue!H16-H20</f>
        <v>-92644.232075000007</v>
      </c>
      <c r="I23" s="27">
        <f>Revenue!I16-I20</f>
        <v>-114910.2965</v>
      </c>
      <c r="J23" s="27">
        <f>Revenue!J16-J20</f>
        <v>-96943.340350000013</v>
      </c>
      <c r="K23" s="27">
        <f>Revenue!K16-K20</f>
        <v>-76137.103375000006</v>
      </c>
      <c r="L23" s="27">
        <f>Revenue!L16-L20</f>
        <v>-52397.622300000017</v>
      </c>
      <c r="M23" s="27">
        <f>Revenue!M16-M20</f>
        <v>-25617.556875000009</v>
      </c>
      <c r="N23" s="27">
        <f>Revenue!N16-N20</f>
        <v>4313.5922250000294</v>
      </c>
      <c r="O23" s="27">
        <f>Revenue!O16-O20</f>
        <v>37499.598275000055</v>
      </c>
      <c r="P23" s="27">
        <f>Revenue!P16-P20</f>
        <v>74044.59454999998</v>
      </c>
      <c r="Q23" s="27">
        <f>Revenue!Q16-Q20</f>
        <v>114048.4273499999</v>
      </c>
      <c r="R23" s="27">
        <f>Revenue!R16-R20</f>
        <v>157624.49994999991</v>
      </c>
      <c r="S23" s="27">
        <f>Revenue!S16-S20</f>
        <v>204846.00957499992</v>
      </c>
      <c r="T23" s="27">
        <f>Revenue!T16-T20</f>
        <v>255842.71554999996</v>
      </c>
      <c r="U23" s="27">
        <f>Revenue!U16-U20</f>
        <v>235712.54114999995</v>
      </c>
      <c r="V23" s="27">
        <f>Revenue!V16-V20</f>
        <v>294530.32754999993</v>
      </c>
      <c r="W23" s="27">
        <f>Revenue!W16-W20</f>
        <v>357403.26802499988</v>
      </c>
      <c r="X23" s="27">
        <f>Revenue!X16-X20</f>
        <v>424405.81979999994</v>
      </c>
      <c r="Y23" s="27">
        <f>Revenue!Y16-Y20</f>
        <v>495622.45404999994</v>
      </c>
      <c r="Z23" s="27">
        <f>Revenue!Z16-Z20</f>
        <v>571137.82195000001</v>
      </c>
      <c r="AA23" s="27">
        <f>Revenue!AA16-AA20</f>
        <v>651023.5577</v>
      </c>
      <c r="AB23" s="27">
        <f>Revenue!AB16-AB20</f>
        <v>735349.03642499982</v>
      </c>
      <c r="AC23" s="27">
        <f>Revenue!AC16-AC20</f>
        <v>824187.35627499968</v>
      </c>
      <c r="AD23" s="27">
        <f>Revenue!AD16-AD20</f>
        <v>917591.15237500006</v>
      </c>
      <c r="AE23" s="27">
        <f>Revenue!AE16-AE20</f>
        <v>1015638.5298500003</v>
      </c>
      <c r="AF23" s="27">
        <f>Revenue!AF16-AF20</f>
        <v>1118367.0277749996</v>
      </c>
      <c r="AG23" s="27">
        <f>Revenue!AG16-AG20</f>
        <v>1225846.2012749999</v>
      </c>
      <c r="AH23" s="27">
        <f>Revenue!AH16-AH20</f>
        <v>1338089.7633750001</v>
      </c>
      <c r="AI23" s="27">
        <f>Revenue!AI16-AI20</f>
        <v>1455180.4661749997</v>
      </c>
      <c r="AJ23" s="27">
        <f>Revenue!AJ16-AJ20</f>
        <v>1577128.4796749996</v>
      </c>
      <c r="AK23" s="27">
        <f>Revenue!AK16-AK20</f>
        <v>1703972.2668999997</v>
      </c>
      <c r="AL23" s="27">
        <f>Revenue!AL16-AL20</f>
        <v>1835766.1069249995</v>
      </c>
    </row>
    <row r="24" spans="1:38" x14ac:dyDescent="0.2">
      <c r="A24" s="6" t="s">
        <v>214</v>
      </c>
      <c r="B24" s="6" t="s">
        <v>175</v>
      </c>
      <c r="C24" s="30">
        <f>IF(Revenue!C16=0,0,C23/Revenue!C16)</f>
        <v>-32.223882543688738</v>
      </c>
      <c r="D24" s="30">
        <f>IF(Revenue!D16=0,0,D23/Revenue!D16)</f>
        <v>-10.26467415448152</v>
      </c>
      <c r="E24" s="30">
        <f>IF(Revenue!E16=0,0,E23/Revenue!E16)</f>
        <v>-4.8245514598393129</v>
      </c>
      <c r="F24" s="30">
        <f>IF(Revenue!F16=0,0,F23/Revenue!F16)</f>
        <v>-2.6957871813209997</v>
      </c>
      <c r="G24" s="30">
        <f>IF(Revenue!G16=0,0,G23/Revenue!G16)</f>
        <v>-1.6275310135126693</v>
      </c>
      <c r="H24" s="30">
        <f>IF(Revenue!H16=0,0,H23/Revenue!H16)</f>
        <v>-1.0147523194802082</v>
      </c>
      <c r="I24" s="30">
        <f>IF(Revenue!I16=0,0,I23/Revenue!I16)</f>
        <v>-0.93544279739315372</v>
      </c>
      <c r="J24" s="30">
        <f>IF(Revenue!J16=0,0,J23/Revenue!J16)</f>
        <v>-0.60805772686591908</v>
      </c>
      <c r="K24" s="30">
        <f>IF(Revenue!K16=0,0,K23/Revenue!K16)</f>
        <v>-0.37833237368960387</v>
      </c>
      <c r="L24" s="30">
        <f>IF(Revenue!L16=0,0,L23/Revenue!L16)</f>
        <v>-0.21090754472563047</v>
      </c>
      <c r="M24" s="30">
        <f>IF(Revenue!M16=0,0,M23/Revenue!M16)</f>
        <v>-8.5054333013942496E-2</v>
      </c>
      <c r="N24" s="30">
        <f>IF(Revenue!N16=0,0,N23/Revenue!N16)</f>
        <v>1.1992699023731542E-2</v>
      </c>
      <c r="O24" s="30">
        <f>IF(Revenue!O16=0,0,O23/Revenue!O16)</f>
        <v>8.842307124196537E-2</v>
      </c>
      <c r="P24" s="30">
        <f>IF(Revenue!P16=0,0,P23/Revenue!P16)</f>
        <v>0.14971034269657651</v>
      </c>
      <c r="Q24" s="30">
        <f>IF(Revenue!Q16=0,0,Q23/Revenue!Q16)</f>
        <v>0.19961901103846869</v>
      </c>
      <c r="R24" s="30">
        <f>IF(Revenue!R16=0,0,R23/Revenue!R16)</f>
        <v>0.2408284493864033</v>
      </c>
      <c r="S24" s="30">
        <f>IF(Revenue!S16=0,0,S23/Revenue!S16)</f>
        <v>0.27523990799274983</v>
      </c>
      <c r="T24" s="30">
        <f>IF(Revenue!T16=0,0,T23/Revenue!T16)</f>
        <v>0.30430433500400944</v>
      </c>
      <c r="U24" s="30">
        <f>IF(Revenue!U16=0,0,U23/Revenue!U16)</f>
        <v>0.24964999397341811</v>
      </c>
      <c r="V24" s="30">
        <f>IF(Revenue!V16=0,0,V23/Revenue!V16)</f>
        <v>0.27927050052132424</v>
      </c>
      <c r="W24" s="30">
        <f>IF(Revenue!W16=0,0,W23/Revenue!W16)</f>
        <v>0.30486669664488841</v>
      </c>
      <c r="X24" s="30">
        <f>IF(Revenue!X16=0,0,X23/Revenue!X16)</f>
        <v>0.32713321943617296</v>
      </c>
      <c r="Y24" s="30">
        <f>IF(Revenue!Y16=0,0,Y23/Revenue!Y16)</f>
        <v>0.346628269728114</v>
      </c>
      <c r="Z24" s="30">
        <f>IF(Revenue!Z16=0,0,Z23/Revenue!Z16)</f>
        <v>0.36379912466473091</v>
      </c>
      <c r="AA24" s="30">
        <f>IF(Revenue!AA16=0,0,AA23/Revenue!AA16)</f>
        <v>0.37900287586732756</v>
      </c>
      <c r="AB24" s="30">
        <f>IF(Revenue!AB16=0,0,AB23/Revenue!AB16)</f>
        <v>0.39253255658627684</v>
      </c>
      <c r="AC24" s="30">
        <f>IF(Revenue!AC16=0,0,AC23/Revenue!AC16)</f>
        <v>0.40462983141402009</v>
      </c>
      <c r="AD24" s="30">
        <f>IF(Revenue!AD16=0,0,AD23/Revenue!AD16)</f>
        <v>0.4154910888162236</v>
      </c>
      <c r="AE24" s="30">
        <f>IF(Revenue!AE16=0,0,AE23/Revenue!AE16)</f>
        <v>0.42528559504763969</v>
      </c>
      <c r="AF24" s="30">
        <f>IF(Revenue!AF16=0,0,AF23/Revenue!AF16)</f>
        <v>0.43414906443306339</v>
      </c>
      <c r="AG24" s="30">
        <f>IF(Revenue!AG16=0,0,AG23/Revenue!AG16)</f>
        <v>0.44220079206845142</v>
      </c>
      <c r="AH24" s="30">
        <f>IF(Revenue!AH16=0,0,AH23/Revenue!AH16)</f>
        <v>0.4495358143035848</v>
      </c>
      <c r="AI24" s="30">
        <f>IF(Revenue!AI16=0,0,AI23/Revenue!AI16)</f>
        <v>0.45624359190559899</v>
      </c>
      <c r="AJ24" s="30">
        <f>IF(Revenue!AJ16=0,0,AJ23/Revenue!AJ16)</f>
        <v>0.46239334205427191</v>
      </c>
      <c r="AK24" s="30">
        <f>IF(Revenue!AK16=0,0,AK23/Revenue!AK16)</f>
        <v>0.46804796129106702</v>
      </c>
      <c r="AL24" s="30">
        <f>IF(Revenue!AL16=0,0,AL23/Revenue!AL16)</f>
        <v>0.47326280030272083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B82F6"/>
  </sheetPr>
  <dimension ref="A1:E72"/>
  <sheetViews>
    <sheetView workbookViewId="0">
      <selection activeCell="B11" sqref="B11"/>
    </sheetView>
  </sheetViews>
  <sheetFormatPr baseColWidth="10" defaultColWidth="8.83203125" defaultRowHeight="15" x14ac:dyDescent="0.2"/>
  <cols>
    <col min="1" max="1" width="35" customWidth="1"/>
    <col min="2" max="4" width="18" customWidth="1"/>
  </cols>
  <sheetData>
    <row r="1" spans="1:5" ht="18" x14ac:dyDescent="0.2">
      <c r="A1" s="1" t="s">
        <v>215</v>
      </c>
    </row>
    <row r="2" spans="1:5" x14ac:dyDescent="0.2">
      <c r="A2" s="2" t="s">
        <v>216</v>
      </c>
    </row>
    <row r="4" spans="1:5" x14ac:dyDescent="0.2">
      <c r="A4" s="3" t="s">
        <v>217</v>
      </c>
      <c r="B4" s="4"/>
      <c r="C4" s="4"/>
      <c r="D4" s="4"/>
      <c r="E4" s="4"/>
    </row>
    <row r="5" spans="1:5" x14ac:dyDescent="0.2">
      <c r="A5" s="6" t="s">
        <v>218</v>
      </c>
      <c r="B5" s="29">
        <f>Assumptions!B36</f>
        <v>10.85</v>
      </c>
    </row>
    <row r="6" spans="1:5" x14ac:dyDescent="0.2">
      <c r="A6" s="6" t="s">
        <v>219</v>
      </c>
      <c r="B6" s="31">
        <f>Assumptions!B36/(Assumptions!B28-Assumptions!B32)</f>
        <v>1.9979008230983115</v>
      </c>
      <c r="C6" s="16" t="s">
        <v>220</v>
      </c>
    </row>
    <row r="7" spans="1:5" x14ac:dyDescent="0.2">
      <c r="A7" s="6" t="s">
        <v>221</v>
      </c>
      <c r="B7" s="31">
        <f>Assumptions!B36/(Assumptions!B29-Assumptions!B32)</f>
        <v>0.65398084469009754</v>
      </c>
    </row>
    <row r="9" spans="1:5" x14ac:dyDescent="0.2">
      <c r="A9" s="3" t="s">
        <v>222</v>
      </c>
      <c r="B9" s="4"/>
      <c r="C9" s="4"/>
      <c r="D9" s="4"/>
      <c r="E9" s="4"/>
    </row>
    <row r="10" spans="1:5" x14ac:dyDescent="0.2">
      <c r="A10" s="6" t="s">
        <v>223</v>
      </c>
      <c r="B10" s="31">
        <f>1/Assumptions!B22</f>
        <v>20</v>
      </c>
      <c r="C10" s="16" t="s">
        <v>224</v>
      </c>
    </row>
    <row r="11" spans="1:5" x14ac:dyDescent="0.2">
      <c r="A11" s="6" t="s">
        <v>225</v>
      </c>
      <c r="B11" s="31">
        <f>1/Assumptions!B23</f>
        <v>33.333333333333336</v>
      </c>
    </row>
    <row r="12" spans="1:5" x14ac:dyDescent="0.2">
      <c r="A12" s="6" t="s">
        <v>226</v>
      </c>
      <c r="B12" s="28">
        <f>(Assumptions!B28-Assumptions!B32)*B10</f>
        <v>108.614</v>
      </c>
      <c r="C12" s="16" t="s">
        <v>227</v>
      </c>
    </row>
    <row r="13" spans="1:5" x14ac:dyDescent="0.2">
      <c r="A13" s="6" t="s">
        <v>228</v>
      </c>
      <c r="B13" s="28">
        <f>(Assumptions!B29-Assumptions!B32)*B11</f>
        <v>553.02333333333331</v>
      </c>
    </row>
    <row r="14" spans="1:5" x14ac:dyDescent="0.2">
      <c r="A14" s="17" t="s">
        <v>229</v>
      </c>
      <c r="B14" s="32">
        <f>B12/Assumptions!B36</f>
        <v>10.010506912442397</v>
      </c>
      <c r="C14" s="16" t="s">
        <v>230</v>
      </c>
    </row>
    <row r="15" spans="1:5" x14ac:dyDescent="0.2">
      <c r="A15" s="17" t="s">
        <v>231</v>
      </c>
      <c r="B15" s="32">
        <f>B13/Assumptions!B36</f>
        <v>50.969892473118279</v>
      </c>
    </row>
    <row r="17" spans="1:5" x14ac:dyDescent="0.2">
      <c r="A17" s="3" t="s">
        <v>232</v>
      </c>
      <c r="B17" s="4"/>
      <c r="C17" s="4"/>
      <c r="D17" s="4"/>
      <c r="E17" s="4"/>
    </row>
    <row r="18" spans="1:5" x14ac:dyDescent="0.2">
      <c r="A18" s="6" t="s">
        <v>233</v>
      </c>
      <c r="B18" s="29">
        <f>Assumptions!B28</f>
        <v>7.4306999999999999</v>
      </c>
    </row>
    <row r="19" spans="1:5" x14ac:dyDescent="0.2">
      <c r="A19" s="6" t="s">
        <v>234</v>
      </c>
      <c r="B19" s="29">
        <f>Assumptions!B32</f>
        <v>2</v>
      </c>
    </row>
    <row r="20" spans="1:5" x14ac:dyDescent="0.2">
      <c r="A20" s="17" t="s">
        <v>235</v>
      </c>
      <c r="B20" s="10">
        <f>B18-B19</f>
        <v>5.4306999999999999</v>
      </c>
    </row>
    <row r="21" spans="1:5" x14ac:dyDescent="0.2">
      <c r="A21" s="6" t="s">
        <v>236</v>
      </c>
      <c r="B21" s="23">
        <f>B20/B18</f>
        <v>0.73084635364097594</v>
      </c>
    </row>
    <row r="23" spans="1:5" x14ac:dyDescent="0.2">
      <c r="A23" s="6" t="s">
        <v>237</v>
      </c>
      <c r="B23" s="29">
        <f>Assumptions!B29</f>
        <v>18.590699999999998</v>
      </c>
    </row>
    <row r="24" spans="1:5" x14ac:dyDescent="0.2">
      <c r="A24" s="6" t="s">
        <v>238</v>
      </c>
      <c r="B24" s="29">
        <f>Assumptions!B32</f>
        <v>2</v>
      </c>
    </row>
    <row r="25" spans="1:5" x14ac:dyDescent="0.2">
      <c r="A25" s="17" t="s">
        <v>239</v>
      </c>
      <c r="B25" s="10">
        <f>B23-B24</f>
        <v>16.590699999999998</v>
      </c>
    </row>
    <row r="26" spans="1:5" x14ac:dyDescent="0.2">
      <c r="A26" s="6" t="s">
        <v>240</v>
      </c>
      <c r="B26" s="23">
        <f>B25/B23</f>
        <v>0.89241932794354162</v>
      </c>
    </row>
    <row r="28" spans="1:5" x14ac:dyDescent="0.2">
      <c r="A28" s="3" t="s">
        <v>241</v>
      </c>
      <c r="B28" s="33" t="s">
        <v>125</v>
      </c>
      <c r="C28" s="34" t="s">
        <v>137</v>
      </c>
      <c r="D28" s="34" t="s">
        <v>149</v>
      </c>
      <c r="E28" s="4"/>
    </row>
    <row r="29" spans="1:5" x14ac:dyDescent="0.2">
      <c r="A29" s="6" t="s">
        <v>172</v>
      </c>
      <c r="B29" s="21">
        <f>'User Growth'!N28</f>
        <v>180130</v>
      </c>
      <c r="C29" s="21">
        <f>'User Growth'!Z28</f>
        <v>533659</v>
      </c>
      <c r="D29" s="21">
        <f>'User Growth'!AL28</f>
        <v>1078296</v>
      </c>
    </row>
    <row r="30" spans="1:5" x14ac:dyDescent="0.2">
      <c r="A30" s="6" t="s">
        <v>242</v>
      </c>
      <c r="B30" s="21">
        <f>'User Growth'!N29</f>
        <v>34609</v>
      </c>
      <c r="C30" s="21">
        <f>'User Growth'!Z29</f>
        <v>143918</v>
      </c>
      <c r="D30" s="21">
        <f>'User Growth'!AL29</f>
        <v>343437</v>
      </c>
    </row>
    <row r="31" spans="1:5" x14ac:dyDescent="0.2">
      <c r="A31" s="6" t="s">
        <v>174</v>
      </c>
      <c r="B31" s="30">
        <f>'User Growth'!N30</f>
        <v>0.1921334591683784</v>
      </c>
      <c r="C31" s="30">
        <f>'User Growth'!Z30</f>
        <v>0.26968157568784562</v>
      </c>
      <c r="D31" s="30">
        <f>'User Growth'!AL30</f>
        <v>0.31849974404059739</v>
      </c>
    </row>
    <row r="32" spans="1:5" x14ac:dyDescent="0.2">
      <c r="A32" s="17" t="s">
        <v>243</v>
      </c>
      <c r="B32" s="24">
        <f>Revenue!N8</f>
        <v>359684.85629999998</v>
      </c>
      <c r="C32" s="24">
        <f>Revenue!Z8</f>
        <v>1569926.3226000001</v>
      </c>
      <c r="D32" s="24">
        <f>Revenue!AL8</f>
        <v>3878957.1158999996</v>
      </c>
    </row>
    <row r="33" spans="1:5" x14ac:dyDescent="0.2">
      <c r="A33" s="17" t="s">
        <v>244</v>
      </c>
      <c r="B33" s="24">
        <f>Revenue!N9</f>
        <v>4316218.2755999994</v>
      </c>
      <c r="C33" s="24">
        <f>Revenue!Z9</f>
        <v>18839115.871200003</v>
      </c>
      <c r="D33" s="24">
        <f>Revenue!AL9</f>
        <v>46547485.390799999</v>
      </c>
    </row>
    <row r="34" spans="1:5" x14ac:dyDescent="0.2">
      <c r="A34" s="6" t="s">
        <v>212</v>
      </c>
      <c r="B34" s="30">
        <f>Costs!N22</f>
        <v>0.74687244012280085</v>
      </c>
      <c r="C34" s="30">
        <f>Costs!Z22</f>
        <v>0.77941821535517208</v>
      </c>
      <c r="D34" s="30">
        <f>Costs!AL22</f>
        <v>0.7945058874890254</v>
      </c>
    </row>
    <row r="35" spans="1:5" x14ac:dyDescent="0.2">
      <c r="A35" s="6" t="s">
        <v>245</v>
      </c>
      <c r="B35" s="30">
        <f>Costs!N24</f>
        <v>1.1992699023731542E-2</v>
      </c>
      <c r="C35" s="30">
        <f>Costs!Z24</f>
        <v>0.36379912466473091</v>
      </c>
      <c r="D35" s="30">
        <f>Costs!AL24</f>
        <v>0.47326280030272083</v>
      </c>
    </row>
    <row r="36" spans="1:5" x14ac:dyDescent="0.2">
      <c r="A36" t="s">
        <v>246</v>
      </c>
      <c r="B36">
        <f>Revenue!N19</f>
        <v>0.96901294769434088</v>
      </c>
      <c r="C36">
        <f>Revenue!Z19</f>
        <v>0.97092031837065784</v>
      </c>
      <c r="D36">
        <f>Revenue!AL19</f>
        <v>0.97138659388044679</v>
      </c>
    </row>
    <row r="38" spans="1:5" x14ac:dyDescent="0.2">
      <c r="A38" s="3" t="s">
        <v>247</v>
      </c>
      <c r="B38" s="4"/>
      <c r="C38" s="4"/>
      <c r="D38" s="4"/>
      <c r="E38" s="4"/>
    </row>
    <row r="39" spans="1:5" x14ac:dyDescent="0.2">
      <c r="A39" s="6" t="s">
        <v>248</v>
      </c>
      <c r="B39" s="13">
        <v>0.16</v>
      </c>
      <c r="C39" s="12" t="s">
        <v>249</v>
      </c>
    </row>
    <row r="40" spans="1:5" x14ac:dyDescent="0.2">
      <c r="A40" s="6" t="s">
        <v>250</v>
      </c>
      <c r="B40" s="13">
        <v>0.06</v>
      </c>
      <c r="C40" s="12" t="s">
        <v>251</v>
      </c>
    </row>
    <row r="41" spans="1:5" x14ac:dyDescent="0.2">
      <c r="A41" s="6" t="s">
        <v>252</v>
      </c>
      <c r="B41" s="23">
        <f>1-B39-B40</f>
        <v>0.78</v>
      </c>
    </row>
    <row r="43" spans="1:5" x14ac:dyDescent="0.2">
      <c r="A43" s="3" t="s">
        <v>253</v>
      </c>
      <c r="B43" s="4"/>
      <c r="C43" s="4"/>
      <c r="D43" s="4"/>
      <c r="E43" s="4"/>
    </row>
    <row r="44" spans="1:5" x14ac:dyDescent="0.2">
      <c r="A44" s="6" t="s">
        <v>254</v>
      </c>
      <c r="B44" s="35">
        <f>B39*Assumptions!$B$28+B40*Assumptions!$B$29</f>
        <v>2.304354</v>
      </c>
      <c r="C44" s="16" t="s">
        <v>255</v>
      </c>
    </row>
    <row r="45" spans="1:5" x14ac:dyDescent="0.2">
      <c r="A45" s="6" t="s">
        <v>256</v>
      </c>
      <c r="B45" s="35">
        <f>B41*Assumptions!$B$33+(B39+B40)*Assumptions!$B$32</f>
        <v>0.55699999999999994</v>
      </c>
      <c r="C45" s="16" t="s">
        <v>257</v>
      </c>
    </row>
    <row r="46" spans="1:5" x14ac:dyDescent="0.2">
      <c r="A46" s="6" t="s">
        <v>258</v>
      </c>
      <c r="B46" s="36">
        <f>B44*Assumptions!$B$61</f>
        <v>0.5760885</v>
      </c>
    </row>
    <row r="47" spans="1:5" x14ac:dyDescent="0.2">
      <c r="A47" s="17" t="s">
        <v>259</v>
      </c>
      <c r="B47" s="35">
        <f>B44-B45-B46</f>
        <v>1.1712655000000001</v>
      </c>
      <c r="C47" s="16" t="s">
        <v>260</v>
      </c>
    </row>
    <row r="49" spans="1:5" x14ac:dyDescent="0.2">
      <c r="A49" s="3" t="s">
        <v>261</v>
      </c>
      <c r="B49" s="4"/>
      <c r="C49" s="4"/>
      <c r="D49" s="4"/>
      <c r="E49" s="4"/>
    </row>
    <row r="50" spans="1:5" x14ac:dyDescent="0.2">
      <c r="A50" s="6" t="s">
        <v>262</v>
      </c>
      <c r="B50" s="24">
        <f>Assumptions!B47*Assumptions!$B$48/12</f>
        <v>112500</v>
      </c>
    </row>
    <row r="51" spans="1:5" x14ac:dyDescent="0.2">
      <c r="A51" s="6" t="s">
        <v>263</v>
      </c>
      <c r="B51" s="24">
        <f>Assumptions!$B$58+Assumptions!$B$59+Assumptions!$B$60+Assumptions!$B$62</f>
        <v>19000</v>
      </c>
    </row>
    <row r="52" spans="1:5" x14ac:dyDescent="0.2">
      <c r="A52" s="17" t="s">
        <v>264</v>
      </c>
      <c r="B52" s="28">
        <f>B50+B51</f>
        <v>131500</v>
      </c>
    </row>
    <row r="53" spans="1:5" x14ac:dyDescent="0.2">
      <c r="A53" s="17" t="s">
        <v>265</v>
      </c>
      <c r="B53" s="22">
        <f>IF(B47&gt;0,ROUND(B52/B47,0),"N/A")</f>
        <v>112272</v>
      </c>
      <c r="C53" s="16" t="s">
        <v>266</v>
      </c>
    </row>
    <row r="55" spans="1:5" x14ac:dyDescent="0.2">
      <c r="A55" s="6" t="s">
        <v>267</v>
      </c>
      <c r="B55" s="24">
        <f>Assumptions!C47*Assumptions!$B$48/12</f>
        <v>150000</v>
      </c>
    </row>
    <row r="56" spans="1:5" x14ac:dyDescent="0.2">
      <c r="A56" s="6" t="s">
        <v>268</v>
      </c>
      <c r="B56" s="24">
        <f>Assumptions!$B$58+Assumptions!$B$59+Assumptions!$B$60+Assumptions!$B$62</f>
        <v>19000</v>
      </c>
    </row>
    <row r="57" spans="1:5" x14ac:dyDescent="0.2">
      <c r="A57" s="17" t="s">
        <v>269</v>
      </c>
      <c r="B57" s="28">
        <f>B55+B56</f>
        <v>169000</v>
      </c>
    </row>
    <row r="58" spans="1:5" x14ac:dyDescent="0.2">
      <c r="A58" s="17" t="s">
        <v>270</v>
      </c>
      <c r="B58" s="22">
        <f>IF(B47&gt;0,ROUND(B57/B47,0),"N/A")</f>
        <v>144288</v>
      </c>
      <c r="C58" s="16" t="s">
        <v>271</v>
      </c>
    </row>
    <row r="60" spans="1:5" x14ac:dyDescent="0.2">
      <c r="A60" s="6" t="s">
        <v>272</v>
      </c>
      <c r="B60" s="24">
        <f>Assumptions!D47*Assumptions!$B$48/12</f>
        <v>225000</v>
      </c>
    </row>
    <row r="61" spans="1:5" x14ac:dyDescent="0.2">
      <c r="A61" s="6" t="s">
        <v>273</v>
      </c>
      <c r="B61" s="24">
        <f>Assumptions!$B$58+Assumptions!$B$59+Assumptions!$B$60+Assumptions!$B$62</f>
        <v>19000</v>
      </c>
    </row>
    <row r="62" spans="1:5" x14ac:dyDescent="0.2">
      <c r="A62" s="17" t="s">
        <v>274</v>
      </c>
      <c r="B62" s="28">
        <f>B60+B61</f>
        <v>244000</v>
      </c>
    </row>
    <row r="63" spans="1:5" x14ac:dyDescent="0.2">
      <c r="A63" s="17" t="s">
        <v>275</v>
      </c>
      <c r="B63" s="22">
        <f>IF(B47&gt;0,ROUND(B62/B47,0),"N/A")</f>
        <v>208322</v>
      </c>
    </row>
    <row r="65" spans="1:5" x14ac:dyDescent="0.2">
      <c r="A65" s="3" t="s">
        <v>276</v>
      </c>
      <c r="B65" s="4"/>
      <c r="C65" s="4"/>
      <c r="D65" s="4"/>
      <c r="E65" s="4"/>
    </row>
    <row r="66" spans="1:5" x14ac:dyDescent="0.2">
      <c r="A66" s="6" t="s">
        <v>277</v>
      </c>
      <c r="B66" s="37">
        <f>SUMPRODUCT(--(Costs!C23:AL23&lt;0))</f>
        <v>11</v>
      </c>
    </row>
    <row r="67" spans="1:5" x14ac:dyDescent="0.2">
      <c r="A67" s="17" t="s">
        <v>278</v>
      </c>
      <c r="B67" s="37">
        <f>B66+1</f>
        <v>12</v>
      </c>
      <c r="C67" s="16" t="s">
        <v>279</v>
      </c>
    </row>
    <row r="68" spans="1:5" x14ac:dyDescent="0.2">
      <c r="A68" s="17" t="s">
        <v>280</v>
      </c>
      <c r="B68" s="21">
        <f>INDEX('User Growth'!C28:AL28,1,B67)</f>
        <v>180130</v>
      </c>
      <c r="C68" s="16" t="s">
        <v>281</v>
      </c>
    </row>
    <row r="69" spans="1:5" x14ac:dyDescent="0.2">
      <c r="A69" s="6" t="s">
        <v>282</v>
      </c>
      <c r="B69" s="21">
        <f>INDEX('User Growth'!C29:AL29,1,B67)</f>
        <v>34609</v>
      </c>
    </row>
    <row r="70" spans="1:5" x14ac:dyDescent="0.2">
      <c r="A70" s="6" t="s">
        <v>283</v>
      </c>
      <c r="B70" s="23">
        <f>IF(B68&gt;0,B69/B68,0)</f>
        <v>0.1921334591683784</v>
      </c>
    </row>
    <row r="71" spans="1:5" x14ac:dyDescent="0.2">
      <c r="A71" s="6" t="s">
        <v>284</v>
      </c>
      <c r="B71" s="24">
        <f>INDEX(Revenue!C8:AL8,1,B67)</f>
        <v>359684.85629999998</v>
      </c>
    </row>
    <row r="72" spans="1:5" x14ac:dyDescent="0.2">
      <c r="A72" s="6" t="s">
        <v>285</v>
      </c>
      <c r="B72" s="28">
        <f>B71*12</f>
        <v>4316218.2755999994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F4444"/>
  </sheetPr>
  <dimension ref="A1:AL21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286</v>
      </c>
    </row>
    <row r="2" spans="1:38" x14ac:dyDescent="0.2">
      <c r="A2" s="2" t="s">
        <v>287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288</v>
      </c>
      <c r="B5" s="4"/>
      <c r="C5" s="4"/>
      <c r="D5" s="4"/>
      <c r="E5" s="4"/>
    </row>
    <row r="6" spans="1:38" x14ac:dyDescent="0.2">
      <c r="A6" s="6" t="s">
        <v>289</v>
      </c>
      <c r="B6" s="6" t="s">
        <v>180</v>
      </c>
      <c r="C6" s="24">
        <f>Revenue!C16</f>
        <v>4184.7116999999998</v>
      </c>
      <c r="D6" s="24">
        <f>Revenue!D16</f>
        <v>12650.8737</v>
      </c>
      <c r="E6" s="24">
        <f>Revenue!E16</f>
        <v>25461.716699999997</v>
      </c>
      <c r="F6" s="24">
        <f>Revenue!F16</f>
        <v>42758.563500000004</v>
      </c>
      <c r="G6" s="24">
        <f>Revenue!G16</f>
        <v>64656.68759999999</v>
      </c>
      <c r="H6" s="24">
        <f>Revenue!H16</f>
        <v>91297.383899999986</v>
      </c>
      <c r="I6" s="24">
        <f>Revenue!I16</f>
        <v>122840.538</v>
      </c>
      <c r="J6" s="24">
        <f>Revenue!J16</f>
        <v>159431.14619999999</v>
      </c>
      <c r="K6" s="24">
        <f>Revenue!K16</f>
        <v>201243.95549999998</v>
      </c>
      <c r="L6" s="24">
        <f>Revenue!L16</f>
        <v>248438.82359999997</v>
      </c>
      <c r="M6" s="24">
        <f>Revenue!M16</f>
        <v>301190.49749999994</v>
      </c>
      <c r="N6" s="24">
        <f>Revenue!N16</f>
        <v>359684.85629999998</v>
      </c>
      <c r="O6" s="24">
        <f>Revenue!O16</f>
        <v>424092.91769999999</v>
      </c>
      <c r="P6" s="24">
        <f>Revenue!P16</f>
        <v>494585.69939999998</v>
      </c>
      <c r="Q6" s="24">
        <f>Revenue!Q16</f>
        <v>571330.48979999986</v>
      </c>
      <c r="R6" s="24">
        <f>Revenue!R16</f>
        <v>654509.46659999993</v>
      </c>
      <c r="S6" s="24">
        <f>Revenue!S16</f>
        <v>744245.30609999993</v>
      </c>
      <c r="T6" s="24">
        <f>Revenue!T16</f>
        <v>840746.20739999996</v>
      </c>
      <c r="U6" s="24">
        <f>Revenue!U16</f>
        <v>944172.02819999994</v>
      </c>
      <c r="V6" s="24">
        <f>Revenue!V16</f>
        <v>1054641.7433999998</v>
      </c>
      <c r="W6" s="24">
        <f>Revenue!W16</f>
        <v>1172326.3706999999</v>
      </c>
      <c r="X6" s="24">
        <f>Revenue!X16</f>
        <v>1297348.5863999999</v>
      </c>
      <c r="Y6" s="24">
        <f>Revenue!Y16</f>
        <v>1429838.5253999999</v>
      </c>
      <c r="Z6" s="24">
        <f>Revenue!Z16</f>
        <v>1569926.3226000001</v>
      </c>
      <c r="AA6" s="24">
        <f>Revenue!AA16</f>
        <v>1717727.2235999999</v>
      </c>
      <c r="AB6" s="24">
        <f>Revenue!AB16</f>
        <v>1873345.3418999999</v>
      </c>
      <c r="AC6" s="24">
        <f>Revenue!AC16</f>
        <v>2036892.2216999996</v>
      </c>
      <c r="AD6" s="24">
        <f>Revenue!AD16</f>
        <v>2208449.6565</v>
      </c>
      <c r="AE6" s="24">
        <f>Revenue!AE16</f>
        <v>2388132.9198000003</v>
      </c>
      <c r="AF6" s="24">
        <f>Revenue!AF16</f>
        <v>2575997.7836999996</v>
      </c>
      <c r="AG6" s="24">
        <f>Revenue!AG16</f>
        <v>2772148.3616999998</v>
      </c>
      <c r="AH6" s="24">
        <f>Revenue!AH16</f>
        <v>2976603.2445</v>
      </c>
      <c r="AI6" s="24">
        <f>Revenue!AI16</f>
        <v>3189481.4348999998</v>
      </c>
      <c r="AJ6" s="24">
        <f>Revenue!AJ16</f>
        <v>3410794.0928999996</v>
      </c>
      <c r="AK6" s="24">
        <f>Revenue!AK16</f>
        <v>3640593.2891999995</v>
      </c>
      <c r="AL6" s="24">
        <f>Revenue!AL16</f>
        <v>3878957.1158999996</v>
      </c>
    </row>
    <row r="7" spans="1:38" x14ac:dyDescent="0.2">
      <c r="A7" s="6" t="s">
        <v>210</v>
      </c>
      <c r="B7" s="6" t="s">
        <v>180</v>
      </c>
      <c r="C7" s="24">
        <f>Costs!C20</f>
        <v>139032.37</v>
      </c>
      <c r="D7" s="24">
        <f>Costs!D20</f>
        <v>142507.97</v>
      </c>
      <c r="E7" s="24">
        <f>Costs!E20</f>
        <v>148303.07917499999</v>
      </c>
      <c r="F7" s="24">
        <f>Costs!F20</f>
        <v>158026.55087499999</v>
      </c>
      <c r="G7" s="24">
        <f>Costs!G20</f>
        <v>169887.45190000001</v>
      </c>
      <c r="H7" s="24">
        <f>Costs!H20</f>
        <v>183941.61597499999</v>
      </c>
      <c r="I7" s="24">
        <f>Costs!I20</f>
        <v>237750.8345</v>
      </c>
      <c r="J7" s="24">
        <f>Costs!J20</f>
        <v>256374.48655</v>
      </c>
      <c r="K7" s="24">
        <f>Costs!K20</f>
        <v>277381.05887499999</v>
      </c>
      <c r="L7" s="24">
        <f>Costs!L20</f>
        <v>300836.44589999999</v>
      </c>
      <c r="M7" s="24">
        <f>Costs!M20</f>
        <v>326808.05437499995</v>
      </c>
      <c r="N7" s="24">
        <f>Costs!N20</f>
        <v>355371.26407499996</v>
      </c>
      <c r="O7" s="24">
        <f>Costs!O20</f>
        <v>386593.31942499994</v>
      </c>
      <c r="P7" s="24">
        <f>Costs!P20</f>
        <v>420541.10485</v>
      </c>
      <c r="Q7" s="24">
        <f>Costs!Q20</f>
        <v>457282.06244999997</v>
      </c>
      <c r="R7" s="24">
        <f>Costs!R20</f>
        <v>496884.96665000002</v>
      </c>
      <c r="S7" s="24">
        <f>Costs!S20</f>
        <v>539399.29652500001</v>
      </c>
      <c r="T7" s="24">
        <f>Costs!T20</f>
        <v>584903.49184999999</v>
      </c>
      <c r="U7" s="24">
        <f>Costs!U20</f>
        <v>708459.48705</v>
      </c>
      <c r="V7" s="24">
        <f>Costs!V20</f>
        <v>760111.41584999987</v>
      </c>
      <c r="W7" s="24">
        <f>Costs!W20</f>
        <v>814923.10267499997</v>
      </c>
      <c r="X7" s="24">
        <f>Costs!X20</f>
        <v>872942.76659999997</v>
      </c>
      <c r="Y7" s="24">
        <f>Costs!Y20</f>
        <v>934216.07134999998</v>
      </c>
      <c r="Z7" s="24">
        <f>Costs!Z20</f>
        <v>998788.50065000006</v>
      </c>
      <c r="AA7" s="24">
        <f>Costs!AA20</f>
        <v>1066703.6658999999</v>
      </c>
      <c r="AB7" s="24">
        <f>Costs!AB20</f>
        <v>1137996.3054750001</v>
      </c>
      <c r="AC7" s="24">
        <f>Costs!AC20</f>
        <v>1212704.865425</v>
      </c>
      <c r="AD7" s="24">
        <f>Costs!AD20</f>
        <v>1290858.504125</v>
      </c>
      <c r="AE7" s="24">
        <f>Costs!AE20</f>
        <v>1372494.38995</v>
      </c>
      <c r="AF7" s="24">
        <f>Costs!AF20</f>
        <v>1457630.7559249999</v>
      </c>
      <c r="AG7" s="24">
        <f>Costs!AG20</f>
        <v>1546302.1604249999</v>
      </c>
      <c r="AH7" s="24">
        <f>Costs!AH20</f>
        <v>1638513.4811249999</v>
      </c>
      <c r="AI7" s="24">
        <f>Costs!AI20</f>
        <v>1734300.968725</v>
      </c>
      <c r="AJ7" s="24">
        <f>Costs!AJ20</f>
        <v>1833665.613225</v>
      </c>
      <c r="AK7" s="24">
        <f>Costs!AK20</f>
        <v>1936621.0222999998</v>
      </c>
      <c r="AL7" s="24">
        <f>Costs!AL20</f>
        <v>2043191.0089750001</v>
      </c>
    </row>
    <row r="8" spans="1:38" x14ac:dyDescent="0.2">
      <c r="A8" s="17" t="s">
        <v>290</v>
      </c>
      <c r="B8" s="17" t="s">
        <v>180</v>
      </c>
      <c r="C8" s="27">
        <f t="shared" ref="C8:AL8" si="0">C6-C7</f>
        <v>-134847.65830000001</v>
      </c>
      <c r="D8" s="27">
        <f t="shared" si="0"/>
        <v>-129857.0963</v>
      </c>
      <c r="E8" s="27">
        <f t="shared" si="0"/>
        <v>-122841.362475</v>
      </c>
      <c r="F8" s="27">
        <f t="shared" si="0"/>
        <v>-115267.98737499998</v>
      </c>
      <c r="G8" s="27">
        <f t="shared" si="0"/>
        <v>-105230.76430000002</v>
      </c>
      <c r="H8" s="27">
        <f t="shared" si="0"/>
        <v>-92644.232075000007</v>
      </c>
      <c r="I8" s="27">
        <f t="shared" si="0"/>
        <v>-114910.2965</v>
      </c>
      <c r="J8" s="27">
        <f t="shared" si="0"/>
        <v>-96943.340350000013</v>
      </c>
      <c r="K8" s="27">
        <f t="shared" si="0"/>
        <v>-76137.103375000006</v>
      </c>
      <c r="L8" s="27">
        <f t="shared" si="0"/>
        <v>-52397.622300000017</v>
      </c>
      <c r="M8" s="27">
        <f t="shared" si="0"/>
        <v>-25617.556875000009</v>
      </c>
      <c r="N8" s="27">
        <f t="shared" si="0"/>
        <v>4313.5922250000294</v>
      </c>
      <c r="O8" s="27">
        <f t="shared" si="0"/>
        <v>37499.598275000055</v>
      </c>
      <c r="P8" s="27">
        <f t="shared" si="0"/>
        <v>74044.59454999998</v>
      </c>
      <c r="Q8" s="27">
        <f t="shared" si="0"/>
        <v>114048.4273499999</v>
      </c>
      <c r="R8" s="27">
        <f t="shared" si="0"/>
        <v>157624.49994999991</v>
      </c>
      <c r="S8" s="27">
        <f t="shared" si="0"/>
        <v>204846.00957499992</v>
      </c>
      <c r="T8" s="27">
        <f t="shared" si="0"/>
        <v>255842.71554999996</v>
      </c>
      <c r="U8" s="27">
        <f t="shared" si="0"/>
        <v>235712.54114999995</v>
      </c>
      <c r="V8" s="27">
        <f t="shared" si="0"/>
        <v>294530.32754999993</v>
      </c>
      <c r="W8" s="27">
        <f t="shared" si="0"/>
        <v>357403.26802499988</v>
      </c>
      <c r="X8" s="27">
        <f t="shared" si="0"/>
        <v>424405.81979999994</v>
      </c>
      <c r="Y8" s="27">
        <f t="shared" si="0"/>
        <v>495622.45404999994</v>
      </c>
      <c r="Z8" s="27">
        <f t="shared" si="0"/>
        <v>571137.82195000001</v>
      </c>
      <c r="AA8" s="27">
        <f t="shared" si="0"/>
        <v>651023.5577</v>
      </c>
      <c r="AB8" s="27">
        <f t="shared" si="0"/>
        <v>735349.03642499982</v>
      </c>
      <c r="AC8" s="27">
        <f t="shared" si="0"/>
        <v>824187.35627499968</v>
      </c>
      <c r="AD8" s="27">
        <f t="shared" si="0"/>
        <v>917591.15237500006</v>
      </c>
      <c r="AE8" s="27">
        <f t="shared" si="0"/>
        <v>1015638.5298500003</v>
      </c>
      <c r="AF8" s="27">
        <f t="shared" si="0"/>
        <v>1118367.0277749996</v>
      </c>
      <c r="AG8" s="27">
        <f t="shared" si="0"/>
        <v>1225846.2012749999</v>
      </c>
      <c r="AH8" s="27">
        <f t="shared" si="0"/>
        <v>1338089.7633750001</v>
      </c>
      <c r="AI8" s="27">
        <f t="shared" si="0"/>
        <v>1455180.4661749997</v>
      </c>
      <c r="AJ8" s="27">
        <f t="shared" si="0"/>
        <v>1577128.4796749996</v>
      </c>
      <c r="AK8" s="27">
        <f t="shared" si="0"/>
        <v>1703972.2668999997</v>
      </c>
      <c r="AL8" s="27">
        <f t="shared" si="0"/>
        <v>1835766.1069249995</v>
      </c>
    </row>
    <row r="9" spans="1:38" x14ac:dyDescent="0.2">
      <c r="A9" s="3" t="s">
        <v>291</v>
      </c>
      <c r="B9" s="4"/>
      <c r="C9" s="4"/>
      <c r="D9" s="4"/>
      <c r="E9" s="4"/>
    </row>
    <row r="10" spans="1:38" x14ac:dyDescent="0.2">
      <c r="A10" s="6" t="s">
        <v>292</v>
      </c>
      <c r="B10" s="6" t="s">
        <v>180</v>
      </c>
      <c r="C10" s="24">
        <f>Assumptions!B51</f>
        <v>5000000</v>
      </c>
      <c r="D10" s="28">
        <f>0</f>
        <v>0</v>
      </c>
      <c r="E10" s="28">
        <f>0</f>
        <v>0</v>
      </c>
      <c r="F10" s="28">
        <f>0</f>
        <v>0</v>
      </c>
      <c r="G10" s="28">
        <f>0</f>
        <v>0</v>
      </c>
      <c r="H10" s="28">
        <f>0</f>
        <v>0</v>
      </c>
      <c r="I10" s="28">
        <f>0</f>
        <v>0</v>
      </c>
      <c r="J10" s="28">
        <f>0</f>
        <v>0</v>
      </c>
      <c r="K10" s="28">
        <f>0</f>
        <v>0</v>
      </c>
      <c r="L10" s="28">
        <f>0</f>
        <v>0</v>
      </c>
      <c r="M10" s="28">
        <f>0</f>
        <v>0</v>
      </c>
      <c r="N10" s="28">
        <f>0</f>
        <v>0</v>
      </c>
      <c r="O10" s="28">
        <f>0</f>
        <v>0</v>
      </c>
      <c r="P10" s="28">
        <f>0</f>
        <v>0</v>
      </c>
      <c r="Q10" s="28">
        <f>0</f>
        <v>0</v>
      </c>
      <c r="R10" s="28">
        <f>0</f>
        <v>0</v>
      </c>
      <c r="S10" s="28">
        <f>0</f>
        <v>0</v>
      </c>
      <c r="T10" s="28">
        <f>0</f>
        <v>0</v>
      </c>
      <c r="U10" s="28">
        <f>0</f>
        <v>0</v>
      </c>
      <c r="V10" s="28">
        <f>0</f>
        <v>0</v>
      </c>
      <c r="W10" s="28">
        <f>0</f>
        <v>0</v>
      </c>
      <c r="X10" s="28">
        <f>0</f>
        <v>0</v>
      </c>
      <c r="Y10" s="28">
        <f>0</f>
        <v>0</v>
      </c>
      <c r="Z10" s="28">
        <f>0</f>
        <v>0</v>
      </c>
      <c r="AA10" s="28">
        <f>0</f>
        <v>0</v>
      </c>
      <c r="AB10" s="28">
        <f>0</f>
        <v>0</v>
      </c>
      <c r="AC10" s="28">
        <f>0</f>
        <v>0</v>
      </c>
      <c r="AD10" s="28">
        <f>0</f>
        <v>0</v>
      </c>
      <c r="AE10" s="28">
        <f>0</f>
        <v>0</v>
      </c>
      <c r="AF10" s="28">
        <f>0</f>
        <v>0</v>
      </c>
      <c r="AG10" s="28">
        <f>0</f>
        <v>0</v>
      </c>
      <c r="AH10" s="28">
        <f>0</f>
        <v>0</v>
      </c>
      <c r="AI10" s="28">
        <f>0</f>
        <v>0</v>
      </c>
      <c r="AJ10" s="28">
        <f>0</f>
        <v>0</v>
      </c>
      <c r="AK10" s="28">
        <f>0</f>
        <v>0</v>
      </c>
      <c r="AL10" s="28">
        <f>0</f>
        <v>0</v>
      </c>
    </row>
    <row r="11" spans="1:38" x14ac:dyDescent="0.2">
      <c r="A11" s="6" t="s">
        <v>293</v>
      </c>
      <c r="B11" s="6" t="s">
        <v>180</v>
      </c>
      <c r="C11" s="28">
        <f>0</f>
        <v>0</v>
      </c>
      <c r="D11" s="24">
        <f>IF(AND(Revenue!D8&gt;=Assumptions!$B$55, Revenue!C8&lt;Assumptions!$B$55), Assumptions!$B$53, 0)</f>
        <v>0</v>
      </c>
      <c r="E11" s="24">
        <f>IF(AND(Revenue!E8&gt;=Assumptions!$B$55, Revenue!D8&lt;Assumptions!$B$55), Assumptions!$B$53, 0)</f>
        <v>0</v>
      </c>
      <c r="F11" s="24">
        <f>IF(AND(Revenue!F8&gt;=Assumptions!$B$55, Revenue!E8&lt;Assumptions!$B$55), Assumptions!$B$53, 0)</f>
        <v>0</v>
      </c>
      <c r="G11" s="24">
        <f>IF(AND(Revenue!G8&gt;=Assumptions!$B$55, Revenue!F8&lt;Assumptions!$B$55), Assumptions!$B$53, 0)</f>
        <v>0</v>
      </c>
      <c r="H11" s="24">
        <f>IF(AND(Revenue!H8&gt;=Assumptions!$B$55, Revenue!G8&lt;Assumptions!$B$55), Assumptions!$B$53, 0)</f>
        <v>0</v>
      </c>
      <c r="I11" s="24">
        <f>IF(AND(Revenue!I8&gt;=Assumptions!$B$55, Revenue!H8&lt;Assumptions!$B$55), Assumptions!$B$53, 0)</f>
        <v>0</v>
      </c>
      <c r="J11" s="24">
        <f>IF(AND(Revenue!J8&gt;=Assumptions!$B$55, Revenue!I8&lt;Assumptions!$B$55), Assumptions!$B$53, 0)</f>
        <v>0</v>
      </c>
      <c r="K11" s="24">
        <f>IF(AND(Revenue!K8&gt;=Assumptions!$B$55, Revenue!J8&lt;Assumptions!$B$55), Assumptions!$B$53, 0)</f>
        <v>0</v>
      </c>
      <c r="L11" s="24">
        <f>IF(AND(Revenue!L8&gt;=Assumptions!$B$55, Revenue!K8&lt;Assumptions!$B$55), Assumptions!$B$53, 0)</f>
        <v>0</v>
      </c>
      <c r="M11" s="24">
        <f>IF(AND(Revenue!M8&gt;=Assumptions!$B$55, Revenue!L8&lt;Assumptions!$B$55), Assumptions!$B$53, 0)</f>
        <v>20000000</v>
      </c>
      <c r="N11" s="24">
        <f>IF(AND(Revenue!N8&gt;=Assumptions!$B$55, Revenue!M8&lt;Assumptions!$B$55), Assumptions!$B$53, 0)</f>
        <v>0</v>
      </c>
      <c r="O11" s="24">
        <f>IF(AND(Revenue!O8&gt;=Assumptions!$B$55, Revenue!N8&lt;Assumptions!$B$55), Assumptions!$B$53, 0)</f>
        <v>0</v>
      </c>
      <c r="P11" s="24">
        <f>IF(AND(Revenue!P8&gt;=Assumptions!$B$55, Revenue!O8&lt;Assumptions!$B$55), Assumptions!$B$53, 0)</f>
        <v>0</v>
      </c>
      <c r="Q11" s="24">
        <f>IF(AND(Revenue!Q8&gt;=Assumptions!$B$55, Revenue!P8&lt;Assumptions!$B$55), Assumptions!$B$53, 0)</f>
        <v>0</v>
      </c>
      <c r="R11" s="24">
        <f>IF(AND(Revenue!R8&gt;=Assumptions!$B$55, Revenue!Q8&lt;Assumptions!$B$55), Assumptions!$B$53, 0)</f>
        <v>0</v>
      </c>
      <c r="S11" s="24">
        <f>IF(AND(Revenue!S8&gt;=Assumptions!$B$55, Revenue!R8&lt;Assumptions!$B$55), Assumptions!$B$53, 0)</f>
        <v>0</v>
      </c>
      <c r="T11" s="24">
        <f>IF(AND(Revenue!T8&gt;=Assumptions!$B$55, Revenue!S8&lt;Assumptions!$B$55), Assumptions!$B$53, 0)</f>
        <v>0</v>
      </c>
      <c r="U11" s="24">
        <f>IF(AND(Revenue!U8&gt;=Assumptions!$B$55, Revenue!T8&lt;Assumptions!$B$55), Assumptions!$B$53, 0)</f>
        <v>0</v>
      </c>
      <c r="V11" s="24">
        <f>IF(AND(Revenue!V8&gt;=Assumptions!$B$55, Revenue!U8&lt;Assumptions!$B$55), Assumptions!$B$53, 0)</f>
        <v>0</v>
      </c>
      <c r="W11" s="24">
        <f>IF(AND(Revenue!W8&gt;=Assumptions!$B$55, Revenue!V8&lt;Assumptions!$B$55), Assumptions!$B$53, 0)</f>
        <v>0</v>
      </c>
      <c r="X11" s="24">
        <f>IF(AND(Revenue!X8&gt;=Assumptions!$B$55, Revenue!W8&lt;Assumptions!$B$55), Assumptions!$B$53, 0)</f>
        <v>0</v>
      </c>
      <c r="Y11" s="24">
        <f>IF(AND(Revenue!Y8&gt;=Assumptions!$B$55, Revenue!X8&lt;Assumptions!$B$55), Assumptions!$B$53, 0)</f>
        <v>0</v>
      </c>
      <c r="Z11" s="24">
        <f>IF(AND(Revenue!Z8&gt;=Assumptions!$B$55, Revenue!Y8&lt;Assumptions!$B$55), Assumptions!$B$53, 0)</f>
        <v>0</v>
      </c>
      <c r="AA11" s="24">
        <f>IF(AND(Revenue!AA8&gt;=Assumptions!$B$55, Revenue!Z8&lt;Assumptions!$B$55), Assumptions!$B$53, 0)</f>
        <v>0</v>
      </c>
      <c r="AB11" s="24">
        <f>IF(AND(Revenue!AB8&gt;=Assumptions!$B$55, Revenue!AA8&lt;Assumptions!$B$55), Assumptions!$B$53, 0)</f>
        <v>0</v>
      </c>
      <c r="AC11" s="24">
        <f>IF(AND(Revenue!AC8&gt;=Assumptions!$B$55, Revenue!AB8&lt;Assumptions!$B$55), Assumptions!$B$53, 0)</f>
        <v>0</v>
      </c>
      <c r="AD11" s="24">
        <f>IF(AND(Revenue!AD8&gt;=Assumptions!$B$55, Revenue!AC8&lt;Assumptions!$B$55), Assumptions!$B$53, 0)</f>
        <v>0</v>
      </c>
      <c r="AE11" s="24">
        <f>IF(AND(Revenue!AE8&gt;=Assumptions!$B$55, Revenue!AD8&lt;Assumptions!$B$55), Assumptions!$B$53, 0)</f>
        <v>0</v>
      </c>
      <c r="AF11" s="24">
        <f>IF(AND(Revenue!AF8&gt;=Assumptions!$B$55, Revenue!AE8&lt;Assumptions!$B$55), Assumptions!$B$53, 0)</f>
        <v>0</v>
      </c>
      <c r="AG11" s="24">
        <f>IF(AND(Revenue!AG8&gt;=Assumptions!$B$55, Revenue!AF8&lt;Assumptions!$B$55), Assumptions!$B$53, 0)</f>
        <v>0</v>
      </c>
      <c r="AH11" s="24">
        <f>IF(AND(Revenue!AH8&gt;=Assumptions!$B$55, Revenue!AG8&lt;Assumptions!$B$55), Assumptions!$B$53, 0)</f>
        <v>0</v>
      </c>
      <c r="AI11" s="24">
        <f>IF(AND(Revenue!AI8&gt;=Assumptions!$B$55, Revenue!AH8&lt;Assumptions!$B$55), Assumptions!$B$53, 0)</f>
        <v>0</v>
      </c>
      <c r="AJ11" s="24">
        <f>IF(AND(Revenue!AJ8&gt;=Assumptions!$B$55, Revenue!AI8&lt;Assumptions!$B$55), Assumptions!$B$53, 0)</f>
        <v>0</v>
      </c>
      <c r="AK11" s="24">
        <f>IF(AND(Revenue!AK8&gt;=Assumptions!$B$55, Revenue!AJ8&lt;Assumptions!$B$55), Assumptions!$B$53, 0)</f>
        <v>0</v>
      </c>
      <c r="AL11" s="24">
        <f>IF(AND(Revenue!AL8&gt;=Assumptions!$B$55, Revenue!AK8&lt;Assumptions!$B$55), Assumptions!$B$53, 0)</f>
        <v>0</v>
      </c>
    </row>
    <row r="12" spans="1:38" x14ac:dyDescent="0.2">
      <c r="A12" s="17" t="s">
        <v>294</v>
      </c>
      <c r="B12" s="17" t="s">
        <v>180</v>
      </c>
      <c r="C12" s="25">
        <f t="shared" ref="C12:AL12" si="1">C10+C11</f>
        <v>5000000</v>
      </c>
      <c r="D12" s="25">
        <f t="shared" si="1"/>
        <v>0</v>
      </c>
      <c r="E12" s="25">
        <f t="shared" si="1"/>
        <v>0</v>
      </c>
      <c r="F12" s="25">
        <f t="shared" si="1"/>
        <v>0</v>
      </c>
      <c r="G12" s="25">
        <f t="shared" si="1"/>
        <v>0</v>
      </c>
      <c r="H12" s="25">
        <f t="shared" si="1"/>
        <v>0</v>
      </c>
      <c r="I12" s="25">
        <f t="shared" si="1"/>
        <v>0</v>
      </c>
      <c r="J12" s="25">
        <f t="shared" si="1"/>
        <v>0</v>
      </c>
      <c r="K12" s="25">
        <f t="shared" si="1"/>
        <v>0</v>
      </c>
      <c r="L12" s="25">
        <f t="shared" si="1"/>
        <v>0</v>
      </c>
      <c r="M12" s="25">
        <f t="shared" si="1"/>
        <v>20000000</v>
      </c>
      <c r="N12" s="25">
        <f t="shared" si="1"/>
        <v>0</v>
      </c>
      <c r="O12" s="25">
        <f t="shared" si="1"/>
        <v>0</v>
      </c>
      <c r="P12" s="25">
        <f t="shared" si="1"/>
        <v>0</v>
      </c>
      <c r="Q12" s="25">
        <f t="shared" si="1"/>
        <v>0</v>
      </c>
      <c r="R12" s="25">
        <f t="shared" si="1"/>
        <v>0</v>
      </c>
      <c r="S12" s="25">
        <f t="shared" si="1"/>
        <v>0</v>
      </c>
      <c r="T12" s="25">
        <f t="shared" si="1"/>
        <v>0</v>
      </c>
      <c r="U12" s="25">
        <f t="shared" si="1"/>
        <v>0</v>
      </c>
      <c r="V12" s="25">
        <f t="shared" si="1"/>
        <v>0</v>
      </c>
      <c r="W12" s="25">
        <f t="shared" si="1"/>
        <v>0</v>
      </c>
      <c r="X12" s="25">
        <f t="shared" si="1"/>
        <v>0</v>
      </c>
      <c r="Y12" s="25">
        <f t="shared" si="1"/>
        <v>0</v>
      </c>
      <c r="Z12" s="25">
        <f t="shared" si="1"/>
        <v>0</v>
      </c>
      <c r="AA12" s="25">
        <f t="shared" si="1"/>
        <v>0</v>
      </c>
      <c r="AB12" s="25">
        <f t="shared" si="1"/>
        <v>0</v>
      </c>
      <c r="AC12" s="25">
        <f t="shared" si="1"/>
        <v>0</v>
      </c>
      <c r="AD12" s="25">
        <f t="shared" si="1"/>
        <v>0</v>
      </c>
      <c r="AE12" s="25">
        <f t="shared" si="1"/>
        <v>0</v>
      </c>
      <c r="AF12" s="25">
        <f t="shared" si="1"/>
        <v>0</v>
      </c>
      <c r="AG12" s="25">
        <f t="shared" si="1"/>
        <v>0</v>
      </c>
      <c r="AH12" s="25">
        <f t="shared" si="1"/>
        <v>0</v>
      </c>
      <c r="AI12" s="25">
        <f t="shared" si="1"/>
        <v>0</v>
      </c>
      <c r="AJ12" s="25">
        <f t="shared" si="1"/>
        <v>0</v>
      </c>
      <c r="AK12" s="25">
        <f t="shared" si="1"/>
        <v>0</v>
      </c>
      <c r="AL12" s="25">
        <f t="shared" si="1"/>
        <v>0</v>
      </c>
    </row>
    <row r="13" spans="1:38" x14ac:dyDescent="0.2">
      <c r="A13" s="3" t="s">
        <v>295</v>
      </c>
      <c r="B13" s="4"/>
      <c r="C13" s="4"/>
      <c r="D13" s="4"/>
      <c r="E13" s="4"/>
    </row>
    <row r="14" spans="1:38" x14ac:dyDescent="0.2">
      <c r="A14" s="6" t="s">
        <v>296</v>
      </c>
      <c r="B14" s="6" t="s">
        <v>180</v>
      </c>
      <c r="C14" s="28">
        <f>0</f>
        <v>0</v>
      </c>
      <c r="D14" s="28">
        <f t="shared" ref="D14:AL14" si="2">C18</f>
        <v>4865152.3416999998</v>
      </c>
      <c r="E14" s="28">
        <f t="shared" si="2"/>
        <v>4735295.2453999994</v>
      </c>
      <c r="F14" s="28">
        <f t="shared" si="2"/>
        <v>4612453.8829249991</v>
      </c>
      <c r="G14" s="28">
        <f t="shared" si="2"/>
        <v>4497185.8955499995</v>
      </c>
      <c r="H14" s="28">
        <f t="shared" si="2"/>
        <v>4391955.1312499996</v>
      </c>
      <c r="I14" s="28">
        <f t="shared" si="2"/>
        <v>4299310.8991749994</v>
      </c>
      <c r="J14" s="28">
        <f t="shared" si="2"/>
        <v>4184400.6026749993</v>
      </c>
      <c r="K14" s="28">
        <f t="shared" si="2"/>
        <v>4087457.2623249991</v>
      </c>
      <c r="L14" s="28">
        <f t="shared" si="2"/>
        <v>4011320.1589499991</v>
      </c>
      <c r="M14" s="28">
        <f t="shared" si="2"/>
        <v>3958922.5366499992</v>
      </c>
      <c r="N14" s="28">
        <f t="shared" si="2"/>
        <v>23933304.979774997</v>
      </c>
      <c r="O14" s="28">
        <f t="shared" si="2"/>
        <v>23937618.571999997</v>
      </c>
      <c r="P14" s="28">
        <f t="shared" si="2"/>
        <v>23975118.170274995</v>
      </c>
      <c r="Q14" s="28">
        <f t="shared" si="2"/>
        <v>24049162.764824994</v>
      </c>
      <c r="R14" s="28">
        <f t="shared" si="2"/>
        <v>24163211.192174993</v>
      </c>
      <c r="S14" s="28">
        <f t="shared" si="2"/>
        <v>24320835.692124993</v>
      </c>
      <c r="T14" s="28">
        <f t="shared" si="2"/>
        <v>24525681.701699991</v>
      </c>
      <c r="U14" s="28">
        <f t="shared" si="2"/>
        <v>24781524.417249992</v>
      </c>
      <c r="V14" s="28">
        <f t="shared" si="2"/>
        <v>25017236.958399992</v>
      </c>
      <c r="W14" s="28">
        <f t="shared" si="2"/>
        <v>25311767.285949994</v>
      </c>
      <c r="X14" s="28">
        <f t="shared" si="2"/>
        <v>25669170.553974994</v>
      </c>
      <c r="Y14" s="28">
        <f t="shared" si="2"/>
        <v>26093576.373774994</v>
      </c>
      <c r="Z14" s="28">
        <f t="shared" si="2"/>
        <v>26589198.827824995</v>
      </c>
      <c r="AA14" s="28">
        <f t="shared" si="2"/>
        <v>27160336.649774995</v>
      </c>
      <c r="AB14" s="28">
        <f t="shared" si="2"/>
        <v>27811360.207474995</v>
      </c>
      <c r="AC14" s="28">
        <f t="shared" si="2"/>
        <v>28546709.243899994</v>
      </c>
      <c r="AD14" s="28">
        <f t="shared" si="2"/>
        <v>29370896.600174993</v>
      </c>
      <c r="AE14" s="28">
        <f t="shared" si="2"/>
        <v>30288487.752549995</v>
      </c>
      <c r="AF14" s="28">
        <f t="shared" si="2"/>
        <v>31304126.282399993</v>
      </c>
      <c r="AG14" s="28">
        <f t="shared" si="2"/>
        <v>32422493.310174994</v>
      </c>
      <c r="AH14" s="28">
        <f t="shared" si="2"/>
        <v>33648339.511449993</v>
      </c>
      <c r="AI14" s="28">
        <f t="shared" si="2"/>
        <v>34986429.274824992</v>
      </c>
      <c r="AJ14" s="28">
        <f t="shared" si="2"/>
        <v>36441609.740999989</v>
      </c>
      <c r="AK14" s="28">
        <f t="shared" si="2"/>
        <v>38018738.220674992</v>
      </c>
      <c r="AL14" s="28">
        <f t="shared" si="2"/>
        <v>39722710.487574995</v>
      </c>
    </row>
    <row r="15" spans="1:38" x14ac:dyDescent="0.2">
      <c r="A15" s="6" t="s">
        <v>297</v>
      </c>
      <c r="B15" s="6" t="s">
        <v>180</v>
      </c>
      <c r="C15" s="28">
        <f t="shared" ref="C15:AL15" si="3">C6+C12</f>
        <v>5004184.7116999999</v>
      </c>
      <c r="D15" s="28">
        <f t="shared" si="3"/>
        <v>12650.8737</v>
      </c>
      <c r="E15" s="28">
        <f t="shared" si="3"/>
        <v>25461.716699999997</v>
      </c>
      <c r="F15" s="28">
        <f t="shared" si="3"/>
        <v>42758.563500000004</v>
      </c>
      <c r="G15" s="28">
        <f t="shared" si="3"/>
        <v>64656.68759999999</v>
      </c>
      <c r="H15" s="28">
        <f t="shared" si="3"/>
        <v>91297.383899999986</v>
      </c>
      <c r="I15" s="28">
        <f t="shared" si="3"/>
        <v>122840.538</v>
      </c>
      <c r="J15" s="28">
        <f t="shared" si="3"/>
        <v>159431.14619999999</v>
      </c>
      <c r="K15" s="28">
        <f t="shared" si="3"/>
        <v>201243.95549999998</v>
      </c>
      <c r="L15" s="28">
        <f t="shared" si="3"/>
        <v>248438.82359999997</v>
      </c>
      <c r="M15" s="28">
        <f t="shared" si="3"/>
        <v>20301190.497499999</v>
      </c>
      <c r="N15" s="28">
        <f t="shared" si="3"/>
        <v>359684.85629999998</v>
      </c>
      <c r="O15" s="28">
        <f t="shared" si="3"/>
        <v>424092.91769999999</v>
      </c>
      <c r="P15" s="28">
        <f t="shared" si="3"/>
        <v>494585.69939999998</v>
      </c>
      <c r="Q15" s="28">
        <f t="shared" si="3"/>
        <v>571330.48979999986</v>
      </c>
      <c r="R15" s="28">
        <f t="shared" si="3"/>
        <v>654509.46659999993</v>
      </c>
      <c r="S15" s="28">
        <f t="shared" si="3"/>
        <v>744245.30609999993</v>
      </c>
      <c r="T15" s="28">
        <f t="shared" si="3"/>
        <v>840746.20739999996</v>
      </c>
      <c r="U15" s="28">
        <f t="shared" si="3"/>
        <v>944172.02819999994</v>
      </c>
      <c r="V15" s="28">
        <f t="shared" si="3"/>
        <v>1054641.7433999998</v>
      </c>
      <c r="W15" s="28">
        <f t="shared" si="3"/>
        <v>1172326.3706999999</v>
      </c>
      <c r="X15" s="28">
        <f t="shared" si="3"/>
        <v>1297348.5863999999</v>
      </c>
      <c r="Y15" s="28">
        <f t="shared" si="3"/>
        <v>1429838.5253999999</v>
      </c>
      <c r="Z15" s="28">
        <f t="shared" si="3"/>
        <v>1569926.3226000001</v>
      </c>
      <c r="AA15" s="28">
        <f t="shared" si="3"/>
        <v>1717727.2235999999</v>
      </c>
      <c r="AB15" s="28">
        <f t="shared" si="3"/>
        <v>1873345.3418999999</v>
      </c>
      <c r="AC15" s="28">
        <f t="shared" si="3"/>
        <v>2036892.2216999996</v>
      </c>
      <c r="AD15" s="28">
        <f t="shared" si="3"/>
        <v>2208449.6565</v>
      </c>
      <c r="AE15" s="28">
        <f t="shared" si="3"/>
        <v>2388132.9198000003</v>
      </c>
      <c r="AF15" s="28">
        <f t="shared" si="3"/>
        <v>2575997.7836999996</v>
      </c>
      <c r="AG15" s="28">
        <f t="shared" si="3"/>
        <v>2772148.3616999998</v>
      </c>
      <c r="AH15" s="28">
        <f t="shared" si="3"/>
        <v>2976603.2445</v>
      </c>
      <c r="AI15" s="28">
        <f t="shared" si="3"/>
        <v>3189481.4348999998</v>
      </c>
      <c r="AJ15" s="28">
        <f t="shared" si="3"/>
        <v>3410794.0928999996</v>
      </c>
      <c r="AK15" s="28">
        <f t="shared" si="3"/>
        <v>3640593.2891999995</v>
      </c>
      <c r="AL15" s="28">
        <f t="shared" si="3"/>
        <v>3878957.1158999996</v>
      </c>
    </row>
    <row r="16" spans="1:38" x14ac:dyDescent="0.2">
      <c r="A16" s="6" t="s">
        <v>298</v>
      </c>
      <c r="B16" s="6" t="s">
        <v>180</v>
      </c>
      <c r="C16" s="28">
        <f t="shared" ref="C16:AL16" si="4">C7</f>
        <v>139032.37</v>
      </c>
      <c r="D16" s="28">
        <f t="shared" si="4"/>
        <v>142507.97</v>
      </c>
      <c r="E16" s="28">
        <f t="shared" si="4"/>
        <v>148303.07917499999</v>
      </c>
      <c r="F16" s="28">
        <f t="shared" si="4"/>
        <v>158026.55087499999</v>
      </c>
      <c r="G16" s="28">
        <f t="shared" si="4"/>
        <v>169887.45190000001</v>
      </c>
      <c r="H16" s="28">
        <f t="shared" si="4"/>
        <v>183941.61597499999</v>
      </c>
      <c r="I16" s="28">
        <f t="shared" si="4"/>
        <v>237750.8345</v>
      </c>
      <c r="J16" s="28">
        <f t="shared" si="4"/>
        <v>256374.48655</v>
      </c>
      <c r="K16" s="28">
        <f t="shared" si="4"/>
        <v>277381.05887499999</v>
      </c>
      <c r="L16" s="28">
        <f t="shared" si="4"/>
        <v>300836.44589999999</v>
      </c>
      <c r="M16" s="28">
        <f t="shared" si="4"/>
        <v>326808.05437499995</v>
      </c>
      <c r="N16" s="28">
        <f t="shared" si="4"/>
        <v>355371.26407499996</v>
      </c>
      <c r="O16" s="28">
        <f t="shared" si="4"/>
        <v>386593.31942499994</v>
      </c>
      <c r="P16" s="28">
        <f t="shared" si="4"/>
        <v>420541.10485</v>
      </c>
      <c r="Q16" s="28">
        <f t="shared" si="4"/>
        <v>457282.06244999997</v>
      </c>
      <c r="R16" s="28">
        <f t="shared" si="4"/>
        <v>496884.96665000002</v>
      </c>
      <c r="S16" s="28">
        <f t="shared" si="4"/>
        <v>539399.29652500001</v>
      </c>
      <c r="T16" s="28">
        <f t="shared" si="4"/>
        <v>584903.49184999999</v>
      </c>
      <c r="U16" s="28">
        <f t="shared" si="4"/>
        <v>708459.48705</v>
      </c>
      <c r="V16" s="28">
        <f t="shared" si="4"/>
        <v>760111.41584999987</v>
      </c>
      <c r="W16" s="28">
        <f t="shared" si="4"/>
        <v>814923.10267499997</v>
      </c>
      <c r="X16" s="28">
        <f t="shared" si="4"/>
        <v>872942.76659999997</v>
      </c>
      <c r="Y16" s="28">
        <f t="shared" si="4"/>
        <v>934216.07134999998</v>
      </c>
      <c r="Z16" s="28">
        <f t="shared" si="4"/>
        <v>998788.50065000006</v>
      </c>
      <c r="AA16" s="28">
        <f t="shared" si="4"/>
        <v>1066703.6658999999</v>
      </c>
      <c r="AB16" s="28">
        <f t="shared" si="4"/>
        <v>1137996.3054750001</v>
      </c>
      <c r="AC16" s="28">
        <f t="shared" si="4"/>
        <v>1212704.865425</v>
      </c>
      <c r="AD16" s="28">
        <f t="shared" si="4"/>
        <v>1290858.504125</v>
      </c>
      <c r="AE16" s="28">
        <f t="shared" si="4"/>
        <v>1372494.38995</v>
      </c>
      <c r="AF16" s="28">
        <f t="shared" si="4"/>
        <v>1457630.7559249999</v>
      </c>
      <c r="AG16" s="28">
        <f t="shared" si="4"/>
        <v>1546302.1604249999</v>
      </c>
      <c r="AH16" s="28">
        <f t="shared" si="4"/>
        <v>1638513.4811249999</v>
      </c>
      <c r="AI16" s="28">
        <f t="shared" si="4"/>
        <v>1734300.968725</v>
      </c>
      <c r="AJ16" s="28">
        <f t="shared" si="4"/>
        <v>1833665.613225</v>
      </c>
      <c r="AK16" s="28">
        <f t="shared" si="4"/>
        <v>1936621.0222999998</v>
      </c>
      <c r="AL16" s="28">
        <f t="shared" si="4"/>
        <v>2043191.0089750001</v>
      </c>
    </row>
    <row r="17" spans="1:38" x14ac:dyDescent="0.2">
      <c r="A17" s="6" t="s">
        <v>299</v>
      </c>
      <c r="B17" s="6" t="s">
        <v>180</v>
      </c>
      <c r="C17" s="38">
        <f t="shared" ref="C17:AL17" si="5">C15-C16</f>
        <v>4865152.3416999998</v>
      </c>
      <c r="D17" s="38">
        <f t="shared" si="5"/>
        <v>-129857.0963</v>
      </c>
      <c r="E17" s="38">
        <f t="shared" si="5"/>
        <v>-122841.362475</v>
      </c>
      <c r="F17" s="38">
        <f t="shared" si="5"/>
        <v>-115267.98737499998</v>
      </c>
      <c r="G17" s="38">
        <f t="shared" si="5"/>
        <v>-105230.76430000002</v>
      </c>
      <c r="H17" s="38">
        <f t="shared" si="5"/>
        <v>-92644.232075000007</v>
      </c>
      <c r="I17" s="38">
        <f t="shared" si="5"/>
        <v>-114910.2965</v>
      </c>
      <c r="J17" s="38">
        <f t="shared" si="5"/>
        <v>-96943.340350000013</v>
      </c>
      <c r="K17" s="38">
        <f t="shared" si="5"/>
        <v>-76137.103375000006</v>
      </c>
      <c r="L17" s="38">
        <f t="shared" si="5"/>
        <v>-52397.622300000017</v>
      </c>
      <c r="M17" s="38">
        <f t="shared" si="5"/>
        <v>19974382.443124998</v>
      </c>
      <c r="N17" s="38">
        <f t="shared" si="5"/>
        <v>4313.5922250000294</v>
      </c>
      <c r="O17" s="38">
        <f t="shared" si="5"/>
        <v>37499.598275000055</v>
      </c>
      <c r="P17" s="38">
        <f t="shared" si="5"/>
        <v>74044.59454999998</v>
      </c>
      <c r="Q17" s="38">
        <f t="shared" si="5"/>
        <v>114048.4273499999</v>
      </c>
      <c r="R17" s="38">
        <f t="shared" si="5"/>
        <v>157624.49994999991</v>
      </c>
      <c r="S17" s="38">
        <f t="shared" si="5"/>
        <v>204846.00957499992</v>
      </c>
      <c r="T17" s="38">
        <f t="shared" si="5"/>
        <v>255842.71554999996</v>
      </c>
      <c r="U17" s="38">
        <f t="shared" si="5"/>
        <v>235712.54114999995</v>
      </c>
      <c r="V17" s="38">
        <f t="shared" si="5"/>
        <v>294530.32754999993</v>
      </c>
      <c r="W17" s="38">
        <f t="shared" si="5"/>
        <v>357403.26802499988</v>
      </c>
      <c r="X17" s="38">
        <f t="shared" si="5"/>
        <v>424405.81979999994</v>
      </c>
      <c r="Y17" s="38">
        <f t="shared" si="5"/>
        <v>495622.45404999994</v>
      </c>
      <c r="Z17" s="38">
        <f t="shared" si="5"/>
        <v>571137.82195000001</v>
      </c>
      <c r="AA17" s="38">
        <f t="shared" si="5"/>
        <v>651023.5577</v>
      </c>
      <c r="AB17" s="38">
        <f t="shared" si="5"/>
        <v>735349.03642499982</v>
      </c>
      <c r="AC17" s="38">
        <f t="shared" si="5"/>
        <v>824187.35627499968</v>
      </c>
      <c r="AD17" s="38">
        <f t="shared" si="5"/>
        <v>917591.15237500006</v>
      </c>
      <c r="AE17" s="38">
        <f t="shared" si="5"/>
        <v>1015638.5298500003</v>
      </c>
      <c r="AF17" s="38">
        <f t="shared" si="5"/>
        <v>1118367.0277749996</v>
      </c>
      <c r="AG17" s="38">
        <f t="shared" si="5"/>
        <v>1225846.2012749999</v>
      </c>
      <c r="AH17" s="38">
        <f t="shared" si="5"/>
        <v>1338089.7633750001</v>
      </c>
      <c r="AI17" s="38">
        <f t="shared" si="5"/>
        <v>1455180.4661749997</v>
      </c>
      <c r="AJ17" s="38">
        <f t="shared" si="5"/>
        <v>1577128.4796749996</v>
      </c>
      <c r="AK17" s="38">
        <f t="shared" si="5"/>
        <v>1703972.2668999997</v>
      </c>
      <c r="AL17" s="38">
        <f t="shared" si="5"/>
        <v>1835766.1069249995</v>
      </c>
    </row>
    <row r="18" spans="1:38" x14ac:dyDescent="0.2">
      <c r="A18" s="17" t="s">
        <v>300</v>
      </c>
      <c r="B18" s="17" t="s">
        <v>180</v>
      </c>
      <c r="C18" s="27">
        <f t="shared" ref="C18:AL18" si="6">C14+C17</f>
        <v>4865152.3416999998</v>
      </c>
      <c r="D18" s="27">
        <f t="shared" si="6"/>
        <v>4735295.2453999994</v>
      </c>
      <c r="E18" s="27">
        <f t="shared" si="6"/>
        <v>4612453.8829249991</v>
      </c>
      <c r="F18" s="27">
        <f t="shared" si="6"/>
        <v>4497185.8955499995</v>
      </c>
      <c r="G18" s="27">
        <f t="shared" si="6"/>
        <v>4391955.1312499996</v>
      </c>
      <c r="H18" s="27">
        <f t="shared" si="6"/>
        <v>4299310.8991749994</v>
      </c>
      <c r="I18" s="27">
        <f t="shared" si="6"/>
        <v>4184400.6026749993</v>
      </c>
      <c r="J18" s="27">
        <f t="shared" si="6"/>
        <v>4087457.2623249991</v>
      </c>
      <c r="K18" s="27">
        <f t="shared" si="6"/>
        <v>4011320.1589499991</v>
      </c>
      <c r="L18" s="27">
        <f t="shared" si="6"/>
        <v>3958922.5366499992</v>
      </c>
      <c r="M18" s="27">
        <f t="shared" si="6"/>
        <v>23933304.979774997</v>
      </c>
      <c r="N18" s="27">
        <f t="shared" si="6"/>
        <v>23937618.571999997</v>
      </c>
      <c r="O18" s="27">
        <f t="shared" si="6"/>
        <v>23975118.170274995</v>
      </c>
      <c r="P18" s="27">
        <f t="shared" si="6"/>
        <v>24049162.764824994</v>
      </c>
      <c r="Q18" s="27">
        <f t="shared" si="6"/>
        <v>24163211.192174993</v>
      </c>
      <c r="R18" s="27">
        <f t="shared" si="6"/>
        <v>24320835.692124993</v>
      </c>
      <c r="S18" s="27">
        <f t="shared" si="6"/>
        <v>24525681.701699991</v>
      </c>
      <c r="T18" s="27">
        <f t="shared" si="6"/>
        <v>24781524.417249992</v>
      </c>
      <c r="U18" s="27">
        <f t="shared" si="6"/>
        <v>25017236.958399992</v>
      </c>
      <c r="V18" s="27">
        <f t="shared" si="6"/>
        <v>25311767.285949994</v>
      </c>
      <c r="W18" s="27">
        <f t="shared" si="6"/>
        <v>25669170.553974994</v>
      </c>
      <c r="X18" s="27">
        <f t="shared" si="6"/>
        <v>26093576.373774994</v>
      </c>
      <c r="Y18" s="27">
        <f t="shared" si="6"/>
        <v>26589198.827824995</v>
      </c>
      <c r="Z18" s="27">
        <f t="shared" si="6"/>
        <v>27160336.649774995</v>
      </c>
      <c r="AA18" s="27">
        <f t="shared" si="6"/>
        <v>27811360.207474995</v>
      </c>
      <c r="AB18" s="27">
        <f t="shared" si="6"/>
        <v>28546709.243899994</v>
      </c>
      <c r="AC18" s="27">
        <f t="shared" si="6"/>
        <v>29370896.600174993</v>
      </c>
      <c r="AD18" s="27">
        <f t="shared" si="6"/>
        <v>30288487.752549995</v>
      </c>
      <c r="AE18" s="27">
        <f t="shared" si="6"/>
        <v>31304126.282399993</v>
      </c>
      <c r="AF18" s="27">
        <f t="shared" si="6"/>
        <v>32422493.310174994</v>
      </c>
      <c r="AG18" s="27">
        <f t="shared" si="6"/>
        <v>33648339.511449993</v>
      </c>
      <c r="AH18" s="27">
        <f t="shared" si="6"/>
        <v>34986429.274824992</v>
      </c>
      <c r="AI18" s="27">
        <f t="shared" si="6"/>
        <v>36441609.740999989</v>
      </c>
      <c r="AJ18" s="27">
        <f t="shared" si="6"/>
        <v>38018738.220674992</v>
      </c>
      <c r="AK18" s="27">
        <f t="shared" si="6"/>
        <v>39722710.487574995</v>
      </c>
      <c r="AL18" s="27">
        <f t="shared" si="6"/>
        <v>41558476.59449999</v>
      </c>
    </row>
    <row r="19" spans="1:38" x14ac:dyDescent="0.2">
      <c r="A19" s="3" t="s">
        <v>301</v>
      </c>
      <c r="B19" s="4"/>
      <c r="C19" s="4"/>
      <c r="D19" s="4"/>
      <c r="E19" s="4"/>
    </row>
    <row r="20" spans="1:38" x14ac:dyDescent="0.2">
      <c r="A20" s="6" t="s">
        <v>302</v>
      </c>
      <c r="B20" s="6" t="s">
        <v>152</v>
      </c>
      <c r="C20" s="31">
        <f t="shared" ref="C20:AL20" si="7">IF(C8&gt;=0, 999, -1*C18/C8)</f>
        <v>36.078878958923674</v>
      </c>
      <c r="D20" s="31">
        <f t="shared" si="7"/>
        <v>36.465433005373612</v>
      </c>
      <c r="E20" s="31">
        <f t="shared" si="7"/>
        <v>37.548052138087449</v>
      </c>
      <c r="F20" s="31">
        <f t="shared" si="7"/>
        <v>39.015046570730497</v>
      </c>
      <c r="G20" s="31">
        <f t="shared" si="7"/>
        <v>41.736417676574824</v>
      </c>
      <c r="H20" s="31">
        <f t="shared" si="7"/>
        <v>46.406676410189235</v>
      </c>
      <c r="I20" s="31">
        <f t="shared" si="7"/>
        <v>36.414496612799176</v>
      </c>
      <c r="J20" s="31">
        <f t="shared" si="7"/>
        <v>42.16336313116323</v>
      </c>
      <c r="K20" s="31">
        <f t="shared" si="7"/>
        <v>52.685484226960178</v>
      </c>
      <c r="L20" s="31">
        <f t="shared" si="7"/>
        <v>75.555385203996138</v>
      </c>
      <c r="M20" s="31">
        <f t="shared" si="7"/>
        <v>934.25399996403792</v>
      </c>
      <c r="N20" s="31">
        <f t="shared" si="7"/>
        <v>999</v>
      </c>
      <c r="O20" s="31">
        <f t="shared" si="7"/>
        <v>999</v>
      </c>
      <c r="P20" s="31">
        <f t="shared" si="7"/>
        <v>999</v>
      </c>
      <c r="Q20" s="31">
        <f t="shared" si="7"/>
        <v>999</v>
      </c>
      <c r="R20" s="31">
        <f t="shared" si="7"/>
        <v>999</v>
      </c>
      <c r="S20" s="31">
        <f t="shared" si="7"/>
        <v>999</v>
      </c>
      <c r="T20" s="31">
        <f t="shared" si="7"/>
        <v>999</v>
      </c>
      <c r="U20" s="31">
        <f t="shared" si="7"/>
        <v>999</v>
      </c>
      <c r="V20" s="31">
        <f t="shared" si="7"/>
        <v>999</v>
      </c>
      <c r="W20" s="31">
        <f t="shared" si="7"/>
        <v>999</v>
      </c>
      <c r="X20" s="31">
        <f t="shared" si="7"/>
        <v>999</v>
      </c>
      <c r="Y20" s="31">
        <f t="shared" si="7"/>
        <v>999</v>
      </c>
      <c r="Z20" s="31">
        <f t="shared" si="7"/>
        <v>999</v>
      </c>
      <c r="AA20" s="31">
        <f t="shared" si="7"/>
        <v>999</v>
      </c>
      <c r="AB20" s="31">
        <f t="shared" si="7"/>
        <v>999</v>
      </c>
      <c r="AC20" s="31">
        <f t="shared" si="7"/>
        <v>999</v>
      </c>
      <c r="AD20" s="31">
        <f t="shared" si="7"/>
        <v>999</v>
      </c>
      <c r="AE20" s="31">
        <f t="shared" si="7"/>
        <v>999</v>
      </c>
      <c r="AF20" s="31">
        <f t="shared" si="7"/>
        <v>999</v>
      </c>
      <c r="AG20" s="31">
        <f t="shared" si="7"/>
        <v>999</v>
      </c>
      <c r="AH20" s="31">
        <f t="shared" si="7"/>
        <v>999</v>
      </c>
      <c r="AI20" s="31">
        <f t="shared" si="7"/>
        <v>999</v>
      </c>
      <c r="AJ20" s="31">
        <f t="shared" si="7"/>
        <v>999</v>
      </c>
      <c r="AK20" s="31">
        <f t="shared" si="7"/>
        <v>999</v>
      </c>
      <c r="AL20" s="31">
        <f t="shared" si="7"/>
        <v>999</v>
      </c>
    </row>
    <row r="21" spans="1:38" x14ac:dyDescent="0.2">
      <c r="A21" s="17" t="s">
        <v>303</v>
      </c>
      <c r="B21" s="17" t="s">
        <v>180</v>
      </c>
      <c r="C21" s="27">
        <f>C8</f>
        <v>-134847.65830000001</v>
      </c>
      <c r="D21" s="27">
        <f t="shared" ref="D21:AL21" si="8">C21+D8</f>
        <v>-264704.75459999999</v>
      </c>
      <c r="E21" s="27">
        <f t="shared" si="8"/>
        <v>-387546.11707499996</v>
      </c>
      <c r="F21" s="27">
        <f t="shared" si="8"/>
        <v>-502814.10444999993</v>
      </c>
      <c r="G21" s="27">
        <f t="shared" si="8"/>
        <v>-608044.86874999991</v>
      </c>
      <c r="H21" s="27">
        <f t="shared" si="8"/>
        <v>-700689.10082499986</v>
      </c>
      <c r="I21" s="27">
        <f t="shared" si="8"/>
        <v>-815599.39732499979</v>
      </c>
      <c r="J21" s="27">
        <f t="shared" si="8"/>
        <v>-912542.73767499975</v>
      </c>
      <c r="K21" s="27">
        <f t="shared" si="8"/>
        <v>-988679.8410499997</v>
      </c>
      <c r="L21" s="27">
        <f t="shared" si="8"/>
        <v>-1041077.4633499997</v>
      </c>
      <c r="M21" s="27">
        <f t="shared" si="8"/>
        <v>-1066695.0202249996</v>
      </c>
      <c r="N21" s="27">
        <f t="shared" si="8"/>
        <v>-1062381.4279999996</v>
      </c>
      <c r="O21" s="27">
        <f t="shared" si="8"/>
        <v>-1024881.8297249996</v>
      </c>
      <c r="P21" s="27">
        <f t="shared" si="8"/>
        <v>-950837.23517499957</v>
      </c>
      <c r="Q21" s="27">
        <f t="shared" si="8"/>
        <v>-836788.80782499968</v>
      </c>
      <c r="R21" s="27">
        <f t="shared" si="8"/>
        <v>-679164.30787499971</v>
      </c>
      <c r="S21" s="27">
        <f t="shared" si="8"/>
        <v>-474318.29829999979</v>
      </c>
      <c r="T21" s="27">
        <f t="shared" si="8"/>
        <v>-218475.58274999983</v>
      </c>
      <c r="U21" s="27">
        <f t="shared" si="8"/>
        <v>17236.95840000012</v>
      </c>
      <c r="V21" s="27">
        <f t="shared" si="8"/>
        <v>311767.28595000005</v>
      </c>
      <c r="W21" s="27">
        <f t="shared" si="8"/>
        <v>669170.55397499993</v>
      </c>
      <c r="X21" s="27">
        <f t="shared" si="8"/>
        <v>1093576.3737749998</v>
      </c>
      <c r="Y21" s="27">
        <f t="shared" si="8"/>
        <v>1589198.8278249996</v>
      </c>
      <c r="Z21" s="27">
        <f t="shared" si="8"/>
        <v>2160336.6497749994</v>
      </c>
      <c r="AA21" s="27">
        <f t="shared" si="8"/>
        <v>2811360.2074749991</v>
      </c>
      <c r="AB21" s="27">
        <f t="shared" si="8"/>
        <v>3546709.2438999992</v>
      </c>
      <c r="AC21" s="27">
        <f t="shared" si="8"/>
        <v>4370896.6001749989</v>
      </c>
      <c r="AD21" s="27">
        <f t="shared" si="8"/>
        <v>5288487.7525499985</v>
      </c>
      <c r="AE21" s="27">
        <f t="shared" si="8"/>
        <v>6304126.282399999</v>
      </c>
      <c r="AF21" s="27">
        <f t="shared" si="8"/>
        <v>7422493.3101749988</v>
      </c>
      <c r="AG21" s="27">
        <f t="shared" si="8"/>
        <v>8648339.5114499982</v>
      </c>
      <c r="AH21" s="27">
        <f t="shared" si="8"/>
        <v>9986429.2748249993</v>
      </c>
      <c r="AI21" s="27">
        <f t="shared" si="8"/>
        <v>11441609.740999999</v>
      </c>
      <c r="AJ21" s="27">
        <f t="shared" si="8"/>
        <v>13018738.220674999</v>
      </c>
      <c r="AK21" s="27">
        <f t="shared" si="8"/>
        <v>14722710.487574998</v>
      </c>
      <c r="AL21" s="27">
        <f t="shared" si="8"/>
        <v>16558476.594499998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0FF"/>
  </sheetPr>
  <dimension ref="A1:AK11"/>
  <sheetViews>
    <sheetView workbookViewId="0"/>
  </sheetViews>
  <sheetFormatPr baseColWidth="10" defaultColWidth="8.83203125" defaultRowHeight="15" x14ac:dyDescent="0.2"/>
  <cols>
    <col min="1" max="1" width="15" customWidth="1"/>
    <col min="2" max="37" width="14" customWidth="1"/>
  </cols>
  <sheetData>
    <row r="1" spans="1:37" ht="18" x14ac:dyDescent="0.2">
      <c r="A1" s="1" t="s">
        <v>304</v>
      </c>
    </row>
    <row r="3" spans="1:37" x14ac:dyDescent="0.2">
      <c r="A3" s="17" t="s">
        <v>305</v>
      </c>
      <c r="B3" s="6" t="s">
        <v>114</v>
      </c>
      <c r="C3" s="6" t="s">
        <v>115</v>
      </c>
      <c r="D3" s="6" t="s">
        <v>116</v>
      </c>
      <c r="E3" s="6" t="s">
        <v>117</v>
      </c>
      <c r="F3" s="6" t="s">
        <v>118</v>
      </c>
      <c r="G3" s="6" t="s">
        <v>119</v>
      </c>
      <c r="H3" s="6" t="s">
        <v>120</v>
      </c>
      <c r="I3" s="6" t="s">
        <v>121</v>
      </c>
      <c r="J3" s="6" t="s">
        <v>122</v>
      </c>
      <c r="K3" s="6" t="s">
        <v>123</v>
      </c>
      <c r="L3" s="6" t="s">
        <v>124</v>
      </c>
      <c r="M3" s="6" t="s">
        <v>125</v>
      </c>
      <c r="N3" s="6" t="s">
        <v>126</v>
      </c>
      <c r="O3" s="6" t="s">
        <v>127</v>
      </c>
      <c r="P3" s="6" t="s">
        <v>128</v>
      </c>
      <c r="Q3" s="6" t="s">
        <v>129</v>
      </c>
      <c r="R3" s="6" t="s">
        <v>130</v>
      </c>
      <c r="S3" s="6" t="s">
        <v>131</v>
      </c>
      <c r="T3" s="6" t="s">
        <v>132</v>
      </c>
      <c r="U3" s="6" t="s">
        <v>133</v>
      </c>
      <c r="V3" s="6" t="s">
        <v>134</v>
      </c>
      <c r="W3" s="6" t="s">
        <v>135</v>
      </c>
      <c r="X3" s="6" t="s">
        <v>136</v>
      </c>
      <c r="Y3" s="6" t="s">
        <v>137</v>
      </c>
      <c r="Z3" s="6" t="s">
        <v>138</v>
      </c>
      <c r="AA3" s="6" t="s">
        <v>139</v>
      </c>
      <c r="AB3" s="6" t="s">
        <v>140</v>
      </c>
      <c r="AC3" s="6" t="s">
        <v>141</v>
      </c>
      <c r="AD3" s="6" t="s">
        <v>142</v>
      </c>
      <c r="AE3" s="6" t="s">
        <v>143</v>
      </c>
      <c r="AF3" s="6" t="s">
        <v>144</v>
      </c>
      <c r="AG3" s="6" t="s">
        <v>145</v>
      </c>
      <c r="AH3" s="6" t="s">
        <v>146</v>
      </c>
      <c r="AI3" s="6" t="s">
        <v>147</v>
      </c>
      <c r="AJ3" s="6" t="s">
        <v>148</v>
      </c>
      <c r="AK3" s="6" t="s">
        <v>149</v>
      </c>
    </row>
    <row r="4" spans="1:37" x14ac:dyDescent="0.2">
      <c r="A4" s="6" t="s">
        <v>172</v>
      </c>
      <c r="B4" s="21">
        <f>'User Growth'!C28</f>
        <v>9639</v>
      </c>
      <c r="C4" s="21">
        <f>'User Growth'!D28</f>
        <v>20109</v>
      </c>
      <c r="D4" s="21">
        <f>'User Growth'!E28</f>
        <v>31460</v>
      </c>
      <c r="E4" s="21">
        <f>'User Growth'!F28</f>
        <v>43737</v>
      </c>
      <c r="F4" s="21">
        <f>'User Growth'!G28</f>
        <v>56986</v>
      </c>
      <c r="G4" s="21">
        <f>'User Growth'!H28</f>
        <v>71249</v>
      </c>
      <c r="H4" s="21">
        <f>'User Growth'!I28</f>
        <v>86565</v>
      </c>
      <c r="I4" s="21">
        <f>'User Growth'!J28</f>
        <v>102970</v>
      </c>
      <c r="J4" s="21">
        <f>'User Growth'!K28</f>
        <v>120499</v>
      </c>
      <c r="K4" s="21">
        <f>'User Growth'!L28</f>
        <v>139183</v>
      </c>
      <c r="L4" s="21">
        <f>'User Growth'!M28</f>
        <v>159051</v>
      </c>
      <c r="M4" s="21">
        <f>'User Growth'!N28</f>
        <v>180130</v>
      </c>
      <c r="N4" s="21">
        <f>'User Growth'!O28</f>
        <v>202443</v>
      </c>
      <c r="O4" s="21">
        <f>'User Growth'!P28</f>
        <v>226011</v>
      </c>
      <c r="P4" s="21">
        <f>'User Growth'!Q28</f>
        <v>250853</v>
      </c>
      <c r="Q4" s="21">
        <f>'User Growth'!R28</f>
        <v>276985</v>
      </c>
      <c r="R4" s="21">
        <f>'User Growth'!S28</f>
        <v>304419</v>
      </c>
      <c r="S4" s="21">
        <f>'User Growth'!T28</f>
        <v>333168</v>
      </c>
      <c r="T4" s="21">
        <f>'User Growth'!U28</f>
        <v>363241</v>
      </c>
      <c r="U4" s="21">
        <f>'User Growth'!V28</f>
        <v>394646</v>
      </c>
      <c r="V4" s="21">
        <f>'User Growth'!W28</f>
        <v>427387</v>
      </c>
      <c r="W4" s="21">
        <f>'User Growth'!X28</f>
        <v>461469</v>
      </c>
      <c r="X4" s="21">
        <f>'User Growth'!Y28</f>
        <v>496893</v>
      </c>
      <c r="Y4" s="21">
        <f>'User Growth'!Z28</f>
        <v>533659</v>
      </c>
      <c r="Z4" s="21">
        <f>'User Growth'!AA28</f>
        <v>571767</v>
      </c>
      <c r="AA4" s="21">
        <f>'User Growth'!AB28</f>
        <v>611214</v>
      </c>
      <c r="AB4" s="21">
        <f>'User Growth'!AC28</f>
        <v>651997</v>
      </c>
      <c r="AC4" s="21">
        <f>'User Growth'!AD28</f>
        <v>694113</v>
      </c>
      <c r="AD4" s="21">
        <f>'User Growth'!AE28</f>
        <v>737557</v>
      </c>
      <c r="AE4" s="21">
        <f>'User Growth'!AF28</f>
        <v>782322</v>
      </c>
      <c r="AF4" s="21">
        <f>'User Growth'!AG28</f>
        <v>828404</v>
      </c>
      <c r="AG4" s="21">
        <f>'User Growth'!AH28</f>
        <v>875794</v>
      </c>
      <c r="AH4" s="21">
        <f>'User Growth'!AI28</f>
        <v>924487</v>
      </c>
      <c r="AI4" s="21">
        <f>'User Growth'!AJ28</f>
        <v>974473</v>
      </c>
      <c r="AJ4" s="21">
        <f>'User Growth'!AK28</f>
        <v>1025745</v>
      </c>
      <c r="AK4" s="21">
        <f>'User Growth'!AL28</f>
        <v>1078296</v>
      </c>
    </row>
    <row r="5" spans="1:37" x14ac:dyDescent="0.2">
      <c r="A5" s="6" t="s">
        <v>306</v>
      </c>
      <c r="B5" s="21">
        <f>'User Growth'!C29</f>
        <v>431</v>
      </c>
      <c r="C5" s="21">
        <f>'User Growth'!D29</f>
        <v>1291</v>
      </c>
      <c r="D5" s="21">
        <f>'User Growth'!E29</f>
        <v>2581</v>
      </c>
      <c r="E5" s="21">
        <f>'User Growth'!F29</f>
        <v>4305</v>
      </c>
      <c r="F5" s="21">
        <f>'User Growth'!G29</f>
        <v>6468</v>
      </c>
      <c r="G5" s="21">
        <f>'User Growth'!H29</f>
        <v>9077</v>
      </c>
      <c r="H5" s="21">
        <f>'User Growth'!I29</f>
        <v>12140</v>
      </c>
      <c r="I5" s="21">
        <f>'User Growth'!J29</f>
        <v>15666</v>
      </c>
      <c r="J5" s="21">
        <f>'User Growth'!K29</f>
        <v>19665</v>
      </c>
      <c r="K5" s="21">
        <f>'User Growth'!L29</f>
        <v>24148</v>
      </c>
      <c r="L5" s="21">
        <f>'User Growth'!M29</f>
        <v>29125</v>
      </c>
      <c r="M5" s="21">
        <f>'User Growth'!N29</f>
        <v>34609</v>
      </c>
      <c r="N5" s="21">
        <f>'User Growth'!O29</f>
        <v>40611</v>
      </c>
      <c r="O5" s="21">
        <f>'User Growth'!P29</f>
        <v>47142</v>
      </c>
      <c r="P5" s="21">
        <f>'User Growth'!Q29</f>
        <v>54214</v>
      </c>
      <c r="Q5" s="21">
        <f>'User Growth'!R29</f>
        <v>61838</v>
      </c>
      <c r="R5" s="21">
        <f>'User Growth'!S29</f>
        <v>70023</v>
      </c>
      <c r="S5" s="21">
        <f>'User Growth'!T29</f>
        <v>78782</v>
      </c>
      <c r="T5" s="21">
        <f>'User Growth'!U29</f>
        <v>88126</v>
      </c>
      <c r="U5" s="21">
        <f>'User Growth'!V29</f>
        <v>98062</v>
      </c>
      <c r="V5" s="21">
        <f>'User Growth'!W29</f>
        <v>108601</v>
      </c>
      <c r="W5" s="21">
        <f>'User Growth'!X29</f>
        <v>119752</v>
      </c>
      <c r="X5" s="21">
        <f>'User Growth'!Y29</f>
        <v>131522</v>
      </c>
      <c r="Y5" s="21">
        <f>'User Growth'!Z29</f>
        <v>143918</v>
      </c>
      <c r="Z5" s="21">
        <f>'User Growth'!AA29</f>
        <v>156948</v>
      </c>
      <c r="AA5" s="21">
        <f>'User Growth'!AB29</f>
        <v>170617</v>
      </c>
      <c r="AB5" s="21">
        <f>'User Growth'!AC29</f>
        <v>184931</v>
      </c>
      <c r="AC5" s="21">
        <f>'User Growth'!AD29</f>
        <v>199895</v>
      </c>
      <c r="AD5" s="21">
        <f>'User Growth'!AE29</f>
        <v>215514</v>
      </c>
      <c r="AE5" s="21">
        <f>'User Growth'!AF29</f>
        <v>231791</v>
      </c>
      <c r="AF5" s="21">
        <f>'User Growth'!AG29</f>
        <v>248731</v>
      </c>
      <c r="AG5" s="21">
        <f>'User Growth'!AH29</f>
        <v>266335</v>
      </c>
      <c r="AH5" s="21">
        <f>'User Growth'!AI29</f>
        <v>284607</v>
      </c>
      <c r="AI5" s="21">
        <f>'User Growth'!AJ29</f>
        <v>303547</v>
      </c>
      <c r="AJ5" s="21">
        <f>'User Growth'!AK29</f>
        <v>323156</v>
      </c>
      <c r="AK5" s="21">
        <f>'User Growth'!AL29</f>
        <v>343437</v>
      </c>
    </row>
    <row r="6" spans="1:37" x14ac:dyDescent="0.2">
      <c r="A6" s="6" t="s">
        <v>307</v>
      </c>
      <c r="B6" s="24">
        <f>Revenue!C8</f>
        <v>4184.7116999999998</v>
      </c>
      <c r="C6" s="24">
        <f>Revenue!D8</f>
        <v>12650.8737</v>
      </c>
      <c r="D6" s="24">
        <f>Revenue!E8</f>
        <v>25461.716699999997</v>
      </c>
      <c r="E6" s="24">
        <f>Revenue!F8</f>
        <v>42758.563500000004</v>
      </c>
      <c r="F6" s="24">
        <f>Revenue!G8</f>
        <v>64656.68759999999</v>
      </c>
      <c r="G6" s="24">
        <f>Revenue!H8</f>
        <v>91297.383899999986</v>
      </c>
      <c r="H6" s="24">
        <f>Revenue!I8</f>
        <v>122840.538</v>
      </c>
      <c r="I6" s="24">
        <f>Revenue!J8</f>
        <v>159431.14619999999</v>
      </c>
      <c r="J6" s="24">
        <f>Revenue!K8</f>
        <v>201243.95549999998</v>
      </c>
      <c r="K6" s="24">
        <f>Revenue!L8</f>
        <v>248438.82359999997</v>
      </c>
      <c r="L6" s="24">
        <f>Revenue!M8</f>
        <v>301190.49749999994</v>
      </c>
      <c r="M6" s="24">
        <f>Revenue!N8</f>
        <v>359684.85629999998</v>
      </c>
      <c r="N6" s="24">
        <f>Revenue!O8</f>
        <v>424092.91769999999</v>
      </c>
      <c r="O6" s="24">
        <f>Revenue!P8</f>
        <v>494585.69939999998</v>
      </c>
      <c r="P6" s="24">
        <f>Revenue!Q8</f>
        <v>571330.48979999986</v>
      </c>
      <c r="Q6" s="24">
        <f>Revenue!R8</f>
        <v>654509.46659999993</v>
      </c>
      <c r="R6" s="24">
        <f>Revenue!S8</f>
        <v>744245.30609999993</v>
      </c>
      <c r="S6" s="24">
        <f>Revenue!T8</f>
        <v>840746.20739999996</v>
      </c>
      <c r="T6" s="24">
        <f>Revenue!U8</f>
        <v>944172.02819999994</v>
      </c>
      <c r="U6" s="24">
        <f>Revenue!V8</f>
        <v>1054641.7433999998</v>
      </c>
      <c r="V6" s="24">
        <f>Revenue!W8</f>
        <v>1172326.3706999999</v>
      </c>
      <c r="W6" s="24">
        <f>Revenue!X8</f>
        <v>1297348.5863999999</v>
      </c>
      <c r="X6" s="24">
        <f>Revenue!Y8</f>
        <v>1429838.5253999999</v>
      </c>
      <c r="Y6" s="24">
        <f>Revenue!Z8</f>
        <v>1569926.3226000001</v>
      </c>
      <c r="Z6" s="24">
        <f>Revenue!AA8</f>
        <v>1717727.2235999999</v>
      </c>
      <c r="AA6" s="24">
        <f>Revenue!AB8</f>
        <v>1873345.3418999999</v>
      </c>
      <c r="AB6" s="24">
        <f>Revenue!AC8</f>
        <v>2036892.2216999996</v>
      </c>
      <c r="AC6" s="24">
        <f>Revenue!AD8</f>
        <v>2208449.6565</v>
      </c>
      <c r="AD6" s="24">
        <f>Revenue!AE8</f>
        <v>2388132.9198000003</v>
      </c>
      <c r="AE6" s="24">
        <f>Revenue!AF8</f>
        <v>2575997.7836999996</v>
      </c>
      <c r="AF6" s="24">
        <f>Revenue!AG8</f>
        <v>2772148.3616999998</v>
      </c>
      <c r="AG6" s="24">
        <f>Revenue!AH8</f>
        <v>2976603.2445</v>
      </c>
      <c r="AH6" s="24">
        <f>Revenue!AI8</f>
        <v>3189481.4348999998</v>
      </c>
      <c r="AI6" s="24">
        <f>Revenue!AJ8</f>
        <v>3410794.0928999996</v>
      </c>
      <c r="AJ6" s="24">
        <f>Revenue!AK8</f>
        <v>3640593.2891999995</v>
      </c>
      <c r="AK6" s="24">
        <f>Revenue!AL8</f>
        <v>3878957.1158999996</v>
      </c>
    </row>
    <row r="7" spans="1:37" x14ac:dyDescent="0.2">
      <c r="A7" s="6" t="s">
        <v>308</v>
      </c>
      <c r="B7" s="24">
        <f>Revenue!C9</f>
        <v>50216.540399999998</v>
      </c>
      <c r="C7" s="24">
        <f>Revenue!D9</f>
        <v>151810.48440000002</v>
      </c>
      <c r="D7" s="24">
        <f>Revenue!E9</f>
        <v>305540.6004</v>
      </c>
      <c r="E7" s="24">
        <f>Revenue!F9</f>
        <v>513102.76200000005</v>
      </c>
      <c r="F7" s="24">
        <f>Revenue!G9</f>
        <v>775880.25119999982</v>
      </c>
      <c r="G7" s="24">
        <f>Revenue!H9</f>
        <v>1095568.6067999997</v>
      </c>
      <c r="H7" s="24">
        <f>Revenue!I9</f>
        <v>1474086.456</v>
      </c>
      <c r="I7" s="24">
        <f>Revenue!J9</f>
        <v>1913173.7544</v>
      </c>
      <c r="J7" s="24">
        <f>Revenue!K9</f>
        <v>2414927.466</v>
      </c>
      <c r="K7" s="24">
        <f>Revenue!L9</f>
        <v>2981265.8831999996</v>
      </c>
      <c r="L7" s="24">
        <f>Revenue!M9</f>
        <v>3614285.9699999993</v>
      </c>
      <c r="M7" s="24">
        <f>Revenue!N9</f>
        <v>4316218.2755999994</v>
      </c>
      <c r="N7" s="24">
        <f>Revenue!O9</f>
        <v>5089115.0123999994</v>
      </c>
      <c r="O7" s="24">
        <f>Revenue!P9</f>
        <v>5935028.3927999996</v>
      </c>
      <c r="P7" s="24">
        <f>Revenue!Q9</f>
        <v>6855965.8775999984</v>
      </c>
      <c r="Q7" s="24">
        <f>Revenue!R9</f>
        <v>7854113.5991999991</v>
      </c>
      <c r="R7" s="24">
        <f>Revenue!S9</f>
        <v>8930943.6732000001</v>
      </c>
      <c r="S7" s="24">
        <f>Revenue!T9</f>
        <v>10088954.4888</v>
      </c>
      <c r="T7" s="24">
        <f>Revenue!U9</f>
        <v>11330064.338399999</v>
      </c>
      <c r="U7" s="24">
        <f>Revenue!V9</f>
        <v>12655700.920799997</v>
      </c>
      <c r="V7" s="24">
        <f>Revenue!W9</f>
        <v>14067916.448399998</v>
      </c>
      <c r="W7" s="24">
        <f>Revenue!X9</f>
        <v>15568183.036799999</v>
      </c>
      <c r="X7" s="24">
        <f>Revenue!Y9</f>
        <v>17158062.3048</v>
      </c>
      <c r="Y7" s="24">
        <f>Revenue!Z9</f>
        <v>18839115.871200003</v>
      </c>
      <c r="Z7" s="24">
        <f>Revenue!AA9</f>
        <v>20612726.683199998</v>
      </c>
      <c r="AA7" s="24">
        <f>Revenue!AB9</f>
        <v>22480144.102799997</v>
      </c>
      <c r="AB7" s="24">
        <f>Revenue!AC9</f>
        <v>24442706.660399996</v>
      </c>
      <c r="AC7" s="24">
        <f>Revenue!AD9</f>
        <v>26501395.877999999</v>
      </c>
      <c r="AD7" s="24">
        <f>Revenue!AE9</f>
        <v>28657595.037600003</v>
      </c>
      <c r="AE7" s="24">
        <f>Revenue!AF9</f>
        <v>30911973.404399995</v>
      </c>
      <c r="AF7" s="24">
        <f>Revenue!AG9</f>
        <v>33265780.340399995</v>
      </c>
      <c r="AG7" s="24">
        <f>Revenue!AH9</f>
        <v>35719238.934</v>
      </c>
      <c r="AH7" s="24">
        <f>Revenue!AI9</f>
        <v>38273777.218799993</v>
      </c>
      <c r="AI7" s="24">
        <f>Revenue!AJ9</f>
        <v>40929529.114799991</v>
      </c>
      <c r="AJ7" s="24">
        <f>Revenue!AK9</f>
        <v>43687119.470399991</v>
      </c>
      <c r="AK7" s="24">
        <f>Revenue!AL9</f>
        <v>46547485.390799999</v>
      </c>
    </row>
    <row r="8" spans="1:37" x14ac:dyDescent="0.2">
      <c r="A8" s="6" t="s">
        <v>309</v>
      </c>
      <c r="B8" s="24">
        <f>'Cash Flow'!C18</f>
        <v>4865152.3416999998</v>
      </c>
      <c r="C8" s="24">
        <f>'Cash Flow'!D18</f>
        <v>4735295.2453999994</v>
      </c>
      <c r="D8" s="24">
        <f>'Cash Flow'!E18</f>
        <v>4612453.8829249991</v>
      </c>
      <c r="E8" s="24">
        <f>'Cash Flow'!F18</f>
        <v>4497185.8955499995</v>
      </c>
      <c r="F8" s="24">
        <f>'Cash Flow'!G18</f>
        <v>4391955.1312499996</v>
      </c>
      <c r="G8" s="24">
        <f>'Cash Flow'!H18</f>
        <v>4299310.8991749994</v>
      </c>
      <c r="H8" s="24">
        <f>'Cash Flow'!I18</f>
        <v>4184400.6026749993</v>
      </c>
      <c r="I8" s="24">
        <f>'Cash Flow'!J18</f>
        <v>4087457.2623249991</v>
      </c>
      <c r="J8" s="24">
        <f>'Cash Flow'!K18</f>
        <v>4011320.1589499991</v>
      </c>
      <c r="K8" s="24">
        <f>'Cash Flow'!L18</f>
        <v>3958922.5366499992</v>
      </c>
      <c r="L8" s="24">
        <f>'Cash Flow'!M18</f>
        <v>23933304.979774997</v>
      </c>
      <c r="M8" s="24">
        <f>'Cash Flow'!N18</f>
        <v>23937618.571999997</v>
      </c>
      <c r="N8" s="24">
        <f>'Cash Flow'!O18</f>
        <v>23975118.170274995</v>
      </c>
      <c r="O8" s="24">
        <f>'Cash Flow'!P18</f>
        <v>24049162.764824994</v>
      </c>
      <c r="P8" s="24">
        <f>'Cash Flow'!Q18</f>
        <v>24163211.192174993</v>
      </c>
      <c r="Q8" s="24">
        <f>'Cash Flow'!R18</f>
        <v>24320835.692124993</v>
      </c>
      <c r="R8" s="24">
        <f>'Cash Flow'!S18</f>
        <v>24525681.701699991</v>
      </c>
      <c r="S8" s="24">
        <f>'Cash Flow'!T18</f>
        <v>24781524.417249992</v>
      </c>
      <c r="T8" s="24">
        <f>'Cash Flow'!U18</f>
        <v>25017236.958399992</v>
      </c>
      <c r="U8" s="24">
        <f>'Cash Flow'!V18</f>
        <v>25311767.285949994</v>
      </c>
      <c r="V8" s="24">
        <f>'Cash Flow'!W18</f>
        <v>25669170.553974994</v>
      </c>
      <c r="W8" s="24">
        <f>'Cash Flow'!X18</f>
        <v>26093576.373774994</v>
      </c>
      <c r="X8" s="24">
        <f>'Cash Flow'!Y18</f>
        <v>26589198.827824995</v>
      </c>
      <c r="Y8" s="24">
        <f>'Cash Flow'!Z18</f>
        <v>27160336.649774995</v>
      </c>
      <c r="Z8" s="24">
        <f>'Cash Flow'!AA18</f>
        <v>27811360.207474995</v>
      </c>
      <c r="AA8" s="24">
        <f>'Cash Flow'!AB18</f>
        <v>28546709.243899994</v>
      </c>
      <c r="AB8" s="24">
        <f>'Cash Flow'!AC18</f>
        <v>29370896.600174993</v>
      </c>
      <c r="AC8" s="24">
        <f>'Cash Flow'!AD18</f>
        <v>30288487.752549995</v>
      </c>
      <c r="AD8" s="24">
        <f>'Cash Flow'!AE18</f>
        <v>31304126.282399993</v>
      </c>
      <c r="AE8" s="24">
        <f>'Cash Flow'!AF18</f>
        <v>32422493.310174994</v>
      </c>
      <c r="AF8" s="24">
        <f>'Cash Flow'!AG18</f>
        <v>33648339.511449993</v>
      </c>
      <c r="AG8" s="24">
        <f>'Cash Flow'!AH18</f>
        <v>34986429.274824992</v>
      </c>
      <c r="AH8" s="24">
        <f>'Cash Flow'!AI18</f>
        <v>36441609.740999989</v>
      </c>
      <c r="AI8" s="24">
        <f>'Cash Flow'!AJ18</f>
        <v>38018738.220674992</v>
      </c>
      <c r="AJ8" s="24">
        <f>'Cash Flow'!AK18</f>
        <v>39722710.487574995</v>
      </c>
      <c r="AK8" s="24">
        <f>'Cash Flow'!AL18</f>
        <v>41558476.59449999</v>
      </c>
    </row>
    <row r="9" spans="1:37" x14ac:dyDescent="0.2">
      <c r="A9" s="6" t="s">
        <v>310</v>
      </c>
      <c r="B9" s="26">
        <f>Costs!C23</f>
        <v>-134847.65830000001</v>
      </c>
      <c r="C9" s="26">
        <f>Costs!D23</f>
        <v>-129857.0963</v>
      </c>
      <c r="D9" s="26">
        <f>Costs!E23</f>
        <v>-122841.362475</v>
      </c>
      <c r="E9" s="26">
        <f>Costs!F23</f>
        <v>-115267.98737499998</v>
      </c>
      <c r="F9" s="26">
        <f>Costs!G23</f>
        <v>-105230.76430000002</v>
      </c>
      <c r="G9" s="26">
        <f>Costs!H23</f>
        <v>-92644.232075000007</v>
      </c>
      <c r="H9" s="26">
        <f>Costs!I23</f>
        <v>-114910.2965</v>
      </c>
      <c r="I9" s="26">
        <f>Costs!J23</f>
        <v>-96943.340350000013</v>
      </c>
      <c r="J9" s="26">
        <f>Costs!K23</f>
        <v>-76137.103375000006</v>
      </c>
      <c r="K9" s="26">
        <f>Costs!L23</f>
        <v>-52397.622300000017</v>
      </c>
      <c r="L9" s="26">
        <f>Costs!M23</f>
        <v>-25617.556875000009</v>
      </c>
      <c r="M9" s="26">
        <f>Costs!N23</f>
        <v>4313.5922250000294</v>
      </c>
      <c r="N9" s="26">
        <f>Costs!O23</f>
        <v>37499.598275000055</v>
      </c>
      <c r="O9" s="26">
        <f>Costs!P23</f>
        <v>74044.59454999998</v>
      </c>
      <c r="P9" s="26">
        <f>Costs!Q23</f>
        <v>114048.4273499999</v>
      </c>
      <c r="Q9" s="26">
        <f>Costs!R23</f>
        <v>157624.49994999991</v>
      </c>
      <c r="R9" s="26">
        <f>Costs!S23</f>
        <v>204846.00957499992</v>
      </c>
      <c r="S9" s="26">
        <f>Costs!T23</f>
        <v>255842.71554999996</v>
      </c>
      <c r="T9" s="26">
        <f>Costs!U23</f>
        <v>235712.54114999995</v>
      </c>
      <c r="U9" s="26">
        <f>Costs!V23</f>
        <v>294530.32754999993</v>
      </c>
      <c r="V9" s="26">
        <f>Costs!W23</f>
        <v>357403.26802499988</v>
      </c>
      <c r="W9" s="26">
        <f>Costs!X23</f>
        <v>424405.81979999994</v>
      </c>
      <c r="X9" s="26">
        <f>Costs!Y23</f>
        <v>495622.45404999994</v>
      </c>
      <c r="Y9" s="26">
        <f>Costs!Z23</f>
        <v>571137.82195000001</v>
      </c>
      <c r="Z9" s="26">
        <f>Costs!AA23</f>
        <v>651023.5577</v>
      </c>
      <c r="AA9" s="26">
        <f>Costs!AB23</f>
        <v>735349.03642499982</v>
      </c>
      <c r="AB9" s="26">
        <f>Costs!AC23</f>
        <v>824187.35627499968</v>
      </c>
      <c r="AC9" s="26">
        <f>Costs!AD23</f>
        <v>917591.15237500006</v>
      </c>
      <c r="AD9" s="26">
        <f>Costs!AE23</f>
        <v>1015638.5298500003</v>
      </c>
      <c r="AE9" s="26">
        <f>Costs!AF23</f>
        <v>1118367.0277749996</v>
      </c>
      <c r="AF9" s="26">
        <f>Costs!AG23</f>
        <v>1225846.2012749999</v>
      </c>
      <c r="AG9" s="26">
        <f>Costs!AH23</f>
        <v>1338089.7633750001</v>
      </c>
      <c r="AH9" s="26">
        <f>Costs!AI23</f>
        <v>1455180.4661749997</v>
      </c>
      <c r="AI9" s="26">
        <f>Costs!AJ23</f>
        <v>1577128.4796749996</v>
      </c>
      <c r="AJ9" s="26">
        <f>Costs!AK23</f>
        <v>1703972.2668999997</v>
      </c>
      <c r="AK9" s="26">
        <f>Costs!AL23</f>
        <v>1835766.1069249995</v>
      </c>
    </row>
    <row r="10" spans="1:37" x14ac:dyDescent="0.2">
      <c r="A10" s="6" t="s">
        <v>212</v>
      </c>
      <c r="B10" s="30">
        <f>Costs!C22</f>
        <v>0.46395351440817301</v>
      </c>
      <c r="C10" s="30">
        <f>Costs!D22</f>
        <v>0.57278049499458683</v>
      </c>
      <c r="D10" s="30">
        <f>Costs!E22</f>
        <v>0.62713236849422649</v>
      </c>
      <c r="E10" s="30">
        <f>Costs!F22</f>
        <v>0.66030664243432791</v>
      </c>
      <c r="F10" s="30">
        <f>Costs!G22</f>
        <v>0.68272887521073689</v>
      </c>
      <c r="G10" s="30">
        <f>Costs!H22</f>
        <v>0.69900780475704294</v>
      </c>
      <c r="H10" s="30">
        <f>Costs!I22</f>
        <v>0.71146536333144361</v>
      </c>
      <c r="I10" s="30">
        <f>Costs!J22</f>
        <v>0.72133675847586665</v>
      </c>
      <c r="J10" s="30">
        <f>Costs!K22</f>
        <v>0.72940752498775041</v>
      </c>
      <c r="K10" s="30">
        <f>Costs!L22</f>
        <v>0.73614731767712327</v>
      </c>
      <c r="L10" s="30">
        <f>Costs!M22</f>
        <v>0.74189457952603566</v>
      </c>
      <c r="M10" s="30">
        <f>Costs!N22</f>
        <v>0.74687244012280085</v>
      </c>
      <c r="N10" s="30">
        <f>Costs!O22</f>
        <v>0.75124130680572321</v>
      </c>
      <c r="O10" s="30">
        <f>Costs!P22</f>
        <v>0.75511958767322163</v>
      </c>
      <c r="P10" s="30">
        <f>Costs!Q22</f>
        <v>0.75859182651308943</v>
      </c>
      <c r="Q10" s="30">
        <f>Costs!R22</f>
        <v>0.76173293442170054</v>
      </c>
      <c r="R10" s="30">
        <f>Costs!S22</f>
        <v>0.76458648974474197</v>
      </c>
      <c r="S10" s="30">
        <f>Costs!T22</f>
        <v>0.76720454011292161</v>
      </c>
      <c r="T10" s="30">
        <f>Costs!U22</f>
        <v>0.76961904875037901</v>
      </c>
      <c r="U10" s="30">
        <f>Costs!V22</f>
        <v>0.77185465917145868</v>
      </c>
      <c r="V10" s="30">
        <f>Costs!W22</f>
        <v>0.77393675803628315</v>
      </c>
      <c r="W10" s="30">
        <f>Costs!X22</f>
        <v>0.77588016586441777</v>
      </c>
      <c r="X10" s="30">
        <f>Costs!Y22</f>
        <v>0.77770241579476174</v>
      </c>
      <c r="Y10" s="30">
        <f>Costs!Z22</f>
        <v>0.77941821535517208</v>
      </c>
      <c r="Z10" s="30">
        <f>Costs!AA22</f>
        <v>0.78103691620388205</v>
      </c>
      <c r="AA10" s="30">
        <f>Costs!AB22</f>
        <v>0.78256889379142403</v>
      </c>
      <c r="AB10" s="30">
        <f>Costs!AC22</f>
        <v>0.78402298594235931</v>
      </c>
      <c r="AC10" s="30">
        <f>Costs!AD22</f>
        <v>0.78540479806495422</v>
      </c>
      <c r="AD10" s="30">
        <f>Costs!AE22</f>
        <v>0.78672273817880478</v>
      </c>
      <c r="AE10" s="30">
        <f>Costs!AF22</f>
        <v>0.78798054351757707</v>
      </c>
      <c r="AF10" s="30">
        <f>Costs!AG22</f>
        <v>0.78918410065123179</v>
      </c>
      <c r="AG10" s="30">
        <f>Costs!AH22</f>
        <v>0.790335224839536</v>
      </c>
      <c r="AH10" s="30">
        <f>Costs!AI22</f>
        <v>0.79144070483644124</v>
      </c>
      <c r="AI10" s="30">
        <f>Costs!AJ22</f>
        <v>0.79250201544759458</v>
      </c>
      <c r="AJ10" s="30">
        <f>Costs!AK22</f>
        <v>0.79352256890931583</v>
      </c>
      <c r="AK10" s="30">
        <f>Costs!AL22</f>
        <v>0.7945058874890254</v>
      </c>
    </row>
    <row r="11" spans="1:37" x14ac:dyDescent="0.2">
      <c r="A11" t="s">
        <v>311</v>
      </c>
      <c r="B11">
        <f>Revenue!C19</f>
        <v>0</v>
      </c>
      <c r="C11">
        <f>Revenue!D19</f>
        <v>0.92546819892036991</v>
      </c>
      <c r="D11">
        <f>Revenue!E19</f>
        <v>0.9489277803793108</v>
      </c>
      <c r="E11">
        <f>Revenue!F19</f>
        <v>0.95712280468504318</v>
      </c>
      <c r="F11">
        <f>Revenue!G19</f>
        <v>0.96135324330996286</v>
      </c>
      <c r="G11">
        <f>Revenue!H19</f>
        <v>0.96387384837202816</v>
      </c>
      <c r="H11">
        <f>Revenue!I19</f>
        <v>0.96550711460199889</v>
      </c>
      <c r="I11">
        <f>Revenue!J19</f>
        <v>0.96665475528933287</v>
      </c>
      <c r="J11">
        <f>Revenue!K19</f>
        <v>0.96743565091423767</v>
      </c>
      <c r="K11">
        <f>Revenue!L19</f>
        <v>0.96809285583735216</v>
      </c>
      <c r="L11">
        <f>Revenue!M19</f>
        <v>0.96857783744553194</v>
      </c>
      <c r="M11">
        <f>Revenue!N19</f>
        <v>0.96901294769434088</v>
      </c>
      <c r="N11">
        <f>Revenue!O19</f>
        <v>0.96934343243296561</v>
      </c>
      <c r="O11">
        <f>Revenue!P19</f>
        <v>0.96961143003779993</v>
      </c>
      <c r="P11">
        <f>Revenue!Q19</f>
        <v>0.9698271522648072</v>
      </c>
      <c r="Q11">
        <f>Revenue!R19</f>
        <v>0.9700443827074744</v>
      </c>
      <c r="R11">
        <f>Revenue!S19</f>
        <v>0.97017943070955115</v>
      </c>
      <c r="S11">
        <f>Revenue!T19</f>
        <v>0.97032620881987441</v>
      </c>
      <c r="T11">
        <f>Revenue!U19</f>
        <v>0.97047156207011154</v>
      </c>
      <c r="U11">
        <f>Revenue!V19</f>
        <v>0.97059021802103418</v>
      </c>
      <c r="V11">
        <f>Revenue!W19</f>
        <v>0.97069100109734963</v>
      </c>
      <c r="W11">
        <f>Revenue!X19</f>
        <v>0.97077189112487472</v>
      </c>
      <c r="X11">
        <f>Revenue!Y19</f>
        <v>0.97084258471736817</v>
      </c>
      <c r="Y11">
        <f>Revenue!Z19</f>
        <v>0.97092031837065784</v>
      </c>
      <c r="Z11">
        <f>Revenue!AA19</f>
        <v>0.9709785448883077</v>
      </c>
      <c r="AA11">
        <f>Revenue!AB19</f>
        <v>0.97103187682167913</v>
      </c>
      <c r="AB11">
        <f>Revenue!AC19</f>
        <v>0.97108043045333392</v>
      </c>
      <c r="AC11">
        <f>Revenue!AD19</f>
        <v>0.97112632324212289</v>
      </c>
      <c r="AD11">
        <f>Revenue!AE19</f>
        <v>0.9711757731435523</v>
      </c>
      <c r="AE11">
        <f>Revenue!AF19</f>
        <v>0.97120866236969838</v>
      </c>
      <c r="AF11">
        <f>Revenue!AG19</f>
        <v>0.9712504188207699</v>
      </c>
      <c r="AG11">
        <f>Revenue!AH19</f>
        <v>0.97127580338046227</v>
      </c>
      <c r="AH11">
        <f>Revenue!AI19</f>
        <v>0.97131175894611232</v>
      </c>
      <c r="AI11">
        <f>Revenue!AJ19</f>
        <v>0.97133488591606532</v>
      </c>
      <c r="AJ11">
        <f>Revenue!AK19</f>
        <v>0.97135623123560255</v>
      </c>
      <c r="AK11">
        <f>Revenue!AL19</f>
        <v>0.97138659388044679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3"/>
  <sheetViews>
    <sheetView tabSelected="1" topLeftCell="A11" zoomScale="240" zoomScaleNormal="240" workbookViewId="0">
      <selection activeCell="B31" sqref="B31"/>
    </sheetView>
  </sheetViews>
  <sheetFormatPr baseColWidth="10" defaultColWidth="8.83203125" defaultRowHeight="15" x14ac:dyDescent="0.2"/>
  <cols>
    <col min="1" max="1" width="42" customWidth="1"/>
    <col min="2" max="2" width="22" customWidth="1"/>
    <col min="3" max="4" width="18" customWidth="1"/>
    <col min="5" max="5" width="50" customWidth="1"/>
  </cols>
  <sheetData>
    <row r="1" spans="1:5" ht="18" x14ac:dyDescent="0.2">
      <c r="A1" s="40" t="s">
        <v>312</v>
      </c>
    </row>
    <row r="2" spans="1:5" x14ac:dyDescent="0.2">
      <c r="A2" s="41" t="s">
        <v>313</v>
      </c>
    </row>
    <row r="4" spans="1:5" ht="18" x14ac:dyDescent="0.2">
      <c r="A4" s="42" t="s">
        <v>314</v>
      </c>
      <c r="B4" s="43"/>
      <c r="C4" s="43"/>
      <c r="D4" s="43"/>
      <c r="E4" s="43"/>
    </row>
    <row r="5" spans="1:5" x14ac:dyDescent="0.2">
      <c r="A5" s="44" t="s">
        <v>112</v>
      </c>
      <c r="B5" s="44" t="s">
        <v>315</v>
      </c>
      <c r="C5" s="44" t="s">
        <v>316</v>
      </c>
      <c r="D5" s="44" t="s">
        <v>317</v>
      </c>
      <c r="E5" s="44" t="s">
        <v>318</v>
      </c>
    </row>
    <row r="6" spans="1:5" x14ac:dyDescent="0.2">
      <c r="A6" s="45" t="s">
        <v>319</v>
      </c>
      <c r="B6" s="30">
        <f>Costs!N22</f>
        <v>0.74687244012280085</v>
      </c>
      <c r="C6" s="46" t="s">
        <v>320</v>
      </c>
      <c r="D6" s="47" t="s">
        <v>321</v>
      </c>
      <c r="E6" s="41" t="s">
        <v>322</v>
      </c>
    </row>
    <row r="7" spans="1:5" x14ac:dyDescent="0.2">
      <c r="A7" s="45" t="s">
        <v>323</v>
      </c>
      <c r="B7" s="60">
        <f>Costs!T22</f>
        <v>0.76720454011292161</v>
      </c>
      <c r="C7" s="46"/>
      <c r="D7" s="48" t="s">
        <v>324</v>
      </c>
      <c r="E7" s="41" t="s">
        <v>325</v>
      </c>
    </row>
    <row r="8" spans="1:5" x14ac:dyDescent="0.2">
      <c r="A8" s="45" t="s">
        <v>326</v>
      </c>
      <c r="B8" s="30">
        <f>Costs!AL22</f>
        <v>0.7945058874890254</v>
      </c>
      <c r="C8" s="46"/>
      <c r="D8" s="48" t="s">
        <v>324</v>
      </c>
      <c r="E8" s="41" t="s">
        <v>327</v>
      </c>
    </row>
    <row r="9" spans="1:5" x14ac:dyDescent="0.2">
      <c r="A9" s="45" t="s">
        <v>328</v>
      </c>
      <c r="B9" s="61">
        <f>'Unit Economics'!B67</f>
        <v>12</v>
      </c>
      <c r="C9" s="46" t="s">
        <v>329</v>
      </c>
      <c r="D9" s="47" t="s">
        <v>321</v>
      </c>
      <c r="E9" s="41" t="s">
        <v>330</v>
      </c>
    </row>
    <row r="10" spans="1:5" x14ac:dyDescent="0.2">
      <c r="A10" s="45" t="s">
        <v>331</v>
      </c>
      <c r="B10" s="50">
        <f>Assumptions!B73</f>
        <v>4.693366708385482</v>
      </c>
      <c r="C10" s="46"/>
      <c r="E10" s="41"/>
    </row>
    <row r="11" spans="1:5" x14ac:dyDescent="0.2">
      <c r="A11" s="45" t="s">
        <v>332</v>
      </c>
      <c r="B11" s="50">
        <f>Assumptions!B74</f>
        <v>3.3350008337502084</v>
      </c>
      <c r="C11" s="46"/>
      <c r="E11" s="41"/>
    </row>
    <row r="12" spans="1:5" x14ac:dyDescent="0.2">
      <c r="A12" s="45" t="s">
        <v>333</v>
      </c>
      <c r="B12" s="62">
        <f>(Assumptions!B73*'Unit Economics'!B39+Assumptions!B74*'Unit Economics'!B40)/('Unit Economics'!B39+'Unit Economics'!B40)</f>
        <v>4.3229032880304077</v>
      </c>
      <c r="C12" s="46" t="s">
        <v>334</v>
      </c>
      <c r="D12" s="52" t="s">
        <v>335</v>
      </c>
      <c r="E12" s="41" t="s">
        <v>336</v>
      </c>
    </row>
    <row r="14" spans="1:5" ht="18" x14ac:dyDescent="0.2">
      <c r="A14" s="42" t="s">
        <v>337</v>
      </c>
      <c r="B14" s="43"/>
      <c r="C14" s="43"/>
      <c r="D14" s="43"/>
      <c r="E14" s="43"/>
    </row>
    <row r="15" spans="1:5" x14ac:dyDescent="0.2">
      <c r="A15" s="44" t="s">
        <v>112</v>
      </c>
      <c r="B15" s="44" t="s">
        <v>315</v>
      </c>
      <c r="C15" s="44" t="s">
        <v>316</v>
      </c>
      <c r="D15" s="44" t="s">
        <v>317</v>
      </c>
      <c r="E15" s="44" t="s">
        <v>318</v>
      </c>
    </row>
    <row r="16" spans="1:5" x14ac:dyDescent="0.2">
      <c r="A16" s="45" t="s">
        <v>229</v>
      </c>
      <c r="B16" s="50">
        <f>'Unit Economics'!B14</f>
        <v>10.010506912442397</v>
      </c>
      <c r="C16" s="46" t="s">
        <v>338</v>
      </c>
      <c r="D16" s="47" t="s">
        <v>321</v>
      </c>
      <c r="E16" s="41" t="s">
        <v>339</v>
      </c>
    </row>
    <row r="17" spans="1:5" x14ac:dyDescent="0.2">
      <c r="A17" s="45" t="s">
        <v>231</v>
      </c>
      <c r="B17" s="50">
        <f>'Unit Economics'!B15</f>
        <v>50.969892473118279</v>
      </c>
      <c r="C17" s="46" t="s">
        <v>340</v>
      </c>
      <c r="D17" s="47" t="s">
        <v>321</v>
      </c>
      <c r="E17" s="41" t="s">
        <v>341</v>
      </c>
    </row>
    <row r="18" spans="1:5" x14ac:dyDescent="0.2">
      <c r="A18" s="45" t="s">
        <v>342</v>
      </c>
      <c r="B18" s="29">
        <f>'Unit Economics'!B12</f>
        <v>108.614</v>
      </c>
      <c r="E18" s="41"/>
    </row>
    <row r="19" spans="1:5" x14ac:dyDescent="0.2">
      <c r="A19" s="45" t="s">
        <v>343</v>
      </c>
      <c r="B19" s="29">
        <f>'Unit Economics'!B13</f>
        <v>553.02333333333331</v>
      </c>
      <c r="E19" s="41"/>
    </row>
    <row r="20" spans="1:5" x14ac:dyDescent="0.2">
      <c r="A20" s="45" t="s">
        <v>344</v>
      </c>
      <c r="B20" s="29">
        <f>'Unit Economics'!B5</f>
        <v>10.85</v>
      </c>
      <c r="E20" s="41"/>
    </row>
    <row r="21" spans="1:5" x14ac:dyDescent="0.2">
      <c r="A21" s="45" t="s">
        <v>345</v>
      </c>
      <c r="B21" s="30">
        <f>'Unit Economics'!B21</f>
        <v>0.73084635364097594</v>
      </c>
      <c r="C21" s="46" t="s">
        <v>346</v>
      </c>
      <c r="D21" s="53" t="s">
        <v>347</v>
      </c>
      <c r="E21" s="41"/>
    </row>
    <row r="22" spans="1:5" x14ac:dyDescent="0.2">
      <c r="A22" s="45" t="s">
        <v>348</v>
      </c>
      <c r="B22" s="30">
        <f>'Unit Economics'!B26</f>
        <v>0.89241932794354162</v>
      </c>
      <c r="C22" s="46" t="s">
        <v>349</v>
      </c>
      <c r="D22" s="53" t="s">
        <v>347</v>
      </c>
      <c r="E22" s="41"/>
    </row>
    <row r="23" spans="1:5" x14ac:dyDescent="0.2">
      <c r="A23" s="45" t="s">
        <v>350</v>
      </c>
      <c r="B23" s="30">
        <f>Costs!N22</f>
        <v>0.74687244012280085</v>
      </c>
      <c r="C23" s="46" t="s">
        <v>351</v>
      </c>
      <c r="D23" s="47" t="s">
        <v>321</v>
      </c>
      <c r="E23" s="41" t="s">
        <v>352</v>
      </c>
    </row>
    <row r="24" spans="1:5" x14ac:dyDescent="0.2">
      <c r="A24" s="45" t="s">
        <v>353</v>
      </c>
      <c r="B24" s="49">
        <f>'Unit Economics'!B67</f>
        <v>12</v>
      </c>
      <c r="C24" s="46"/>
      <c r="D24" s="47" t="s">
        <v>321</v>
      </c>
      <c r="E24" s="41" t="s">
        <v>355</v>
      </c>
    </row>
    <row r="26" spans="1:5" ht="18" x14ac:dyDescent="0.2">
      <c r="A26" s="42" t="s">
        <v>356</v>
      </c>
      <c r="B26" s="43"/>
      <c r="C26" s="43"/>
      <c r="D26" s="43"/>
      <c r="E26" s="43"/>
    </row>
    <row r="27" spans="1:5" x14ac:dyDescent="0.2">
      <c r="A27" s="44" t="s">
        <v>112</v>
      </c>
      <c r="B27" s="44" t="s">
        <v>315</v>
      </c>
      <c r="C27" s="44" t="s">
        <v>316</v>
      </c>
      <c r="D27" s="44" t="s">
        <v>317</v>
      </c>
      <c r="E27" s="44" t="s">
        <v>318</v>
      </c>
    </row>
    <row r="28" spans="1:5" x14ac:dyDescent="0.2">
      <c r="A28" s="45" t="s">
        <v>357</v>
      </c>
      <c r="B28" s="54">
        <f>'Unit Economics'!B67</f>
        <v>12</v>
      </c>
      <c r="E28" s="41" t="s">
        <v>358</v>
      </c>
    </row>
    <row r="29" spans="1:5" x14ac:dyDescent="0.2">
      <c r="A29" s="45" t="s">
        <v>359</v>
      </c>
      <c r="B29" s="24">
        <f>'Unit Economics'!B71</f>
        <v>359684.85629999998</v>
      </c>
      <c r="E29" s="41" t="s">
        <v>360</v>
      </c>
    </row>
    <row r="30" spans="1:5" x14ac:dyDescent="0.2">
      <c r="A30" s="45" t="s">
        <v>361</v>
      </c>
      <c r="B30" s="24">
        <f>'Unit Economics'!B72</f>
        <v>4316218.2755999994</v>
      </c>
      <c r="E30" s="41"/>
    </row>
    <row r="31" spans="1:5" x14ac:dyDescent="0.2">
      <c r="A31" s="45" t="s">
        <v>362</v>
      </c>
      <c r="B31" s="59">
        <f>SUMPRODUCT(--('Cash Flow'!C21:AL21&lt;0))+1</f>
        <v>19</v>
      </c>
      <c r="E31" s="41" t="s">
        <v>363</v>
      </c>
    </row>
    <row r="32" spans="1:5" x14ac:dyDescent="0.2">
      <c r="A32" s="45" t="s">
        <v>364</v>
      </c>
      <c r="B32" s="55">
        <f>SUMPRODUCT(--(Revenue!C8:AL8&lt;Assumptions!$B$55))+1</f>
        <v>11</v>
      </c>
      <c r="E32" s="41" t="s">
        <v>365</v>
      </c>
    </row>
    <row r="33" spans="1:5" x14ac:dyDescent="0.2">
      <c r="A33" s="45" t="s">
        <v>366</v>
      </c>
      <c r="B33" s="24">
        <f>Revenue!T9</f>
        <v>10088954.4888</v>
      </c>
      <c r="E33" s="41"/>
    </row>
    <row r="34" spans="1:5" x14ac:dyDescent="0.2">
      <c r="A34" s="45" t="s">
        <v>367</v>
      </c>
      <c r="B34" s="24">
        <f>Costs!T23</f>
        <v>255842.71554999996</v>
      </c>
      <c r="E34" s="41" t="s">
        <v>368</v>
      </c>
    </row>
    <row r="36" spans="1:5" ht="18" x14ac:dyDescent="0.2">
      <c r="A36" s="42" t="s">
        <v>369</v>
      </c>
      <c r="B36" s="43"/>
      <c r="C36" s="43"/>
      <c r="D36" s="43"/>
      <c r="E36" s="43"/>
    </row>
    <row r="37" spans="1:5" x14ac:dyDescent="0.2">
      <c r="A37" s="44" t="s">
        <v>112</v>
      </c>
      <c r="B37" s="44" t="s">
        <v>315</v>
      </c>
      <c r="C37" s="44" t="s">
        <v>316</v>
      </c>
      <c r="D37" s="44" t="s">
        <v>317</v>
      </c>
      <c r="E37" s="44" t="s">
        <v>318</v>
      </c>
    </row>
    <row r="38" spans="1:5" x14ac:dyDescent="0.2">
      <c r="A38" s="45" t="s">
        <v>370</v>
      </c>
      <c r="B38" s="64">
        <v>3500000</v>
      </c>
      <c r="C38" s="63" t="s">
        <v>371</v>
      </c>
      <c r="D38" s="52" t="s">
        <v>372</v>
      </c>
      <c r="E38" s="41" t="s">
        <v>373</v>
      </c>
    </row>
    <row r="39" spans="1:5" x14ac:dyDescent="0.2">
      <c r="A39" s="45" t="s">
        <v>374</v>
      </c>
      <c r="B39" s="64">
        <v>1500000</v>
      </c>
      <c r="C39" s="63" t="s">
        <v>375</v>
      </c>
      <c r="D39" s="52" t="s">
        <v>372</v>
      </c>
      <c r="E39" s="41" t="s">
        <v>376</v>
      </c>
    </row>
    <row r="40" spans="1:5" x14ac:dyDescent="0.2">
      <c r="A40" s="45" t="s">
        <v>377</v>
      </c>
      <c r="B40" s="65">
        <f>Revenue!AL17</f>
        <v>45500726.104200006</v>
      </c>
      <c r="C40" s="63" t="s">
        <v>378</v>
      </c>
      <c r="D40" s="47" t="s">
        <v>321</v>
      </c>
      <c r="E40" s="41" t="s">
        <v>379</v>
      </c>
    </row>
    <row r="41" spans="1:5" x14ac:dyDescent="0.2">
      <c r="A41" s="45" t="s">
        <v>380</v>
      </c>
      <c r="B41" s="56">
        <f>SUM(Revenue!C16:N16)</f>
        <v>1633839.7541999999</v>
      </c>
      <c r="E41" s="41"/>
    </row>
    <row r="42" spans="1:5" x14ac:dyDescent="0.2">
      <c r="A42" s="45" t="s">
        <v>381</v>
      </c>
      <c r="B42" s="56">
        <f>SUM(Revenue!O16:Z16)</f>
        <v>11197763.663699998</v>
      </c>
      <c r="E42" s="41"/>
    </row>
    <row r="43" spans="1:5" x14ac:dyDescent="0.2">
      <c r="A43" s="45" t="s">
        <v>382</v>
      </c>
      <c r="B43" s="56">
        <f>SUM(Revenue!AA16:AL16)</f>
        <v>32669122.686299998</v>
      </c>
      <c r="E43" s="41"/>
    </row>
    <row r="45" spans="1:5" ht="18" x14ac:dyDescent="0.2">
      <c r="A45" s="42" t="s">
        <v>383</v>
      </c>
      <c r="B45" s="43"/>
      <c r="C45" s="43"/>
      <c r="D45" s="43"/>
      <c r="E45" s="43"/>
    </row>
    <row r="46" spans="1:5" x14ac:dyDescent="0.2">
      <c r="A46" s="44" t="s">
        <v>112</v>
      </c>
      <c r="B46" s="44" t="s">
        <v>315</v>
      </c>
      <c r="C46" s="44" t="s">
        <v>316</v>
      </c>
      <c r="D46" s="44" t="s">
        <v>317</v>
      </c>
      <c r="E46" s="44" t="s">
        <v>318</v>
      </c>
    </row>
    <row r="47" spans="1:5" x14ac:dyDescent="0.2">
      <c r="A47" s="45" t="s">
        <v>384</v>
      </c>
      <c r="B47" s="46">
        <v>35</v>
      </c>
      <c r="C47" s="46" t="s">
        <v>385</v>
      </c>
      <c r="D47" s="48" t="s">
        <v>386</v>
      </c>
      <c r="E47" s="41" t="s">
        <v>387</v>
      </c>
    </row>
    <row r="48" spans="1:5" x14ac:dyDescent="0.2">
      <c r="A48" s="45" t="s">
        <v>388</v>
      </c>
      <c r="B48" s="57">
        <f>Assumptions!C47</f>
        <v>12</v>
      </c>
      <c r="C48" s="46" t="s">
        <v>389</v>
      </c>
      <c r="D48" s="52" t="s">
        <v>335</v>
      </c>
      <c r="E48" s="41" t="s">
        <v>390</v>
      </c>
    </row>
    <row r="49" spans="1:5" x14ac:dyDescent="0.2">
      <c r="A49" s="45" t="s">
        <v>391</v>
      </c>
      <c r="B49" s="51">
        <f>B47/B48</f>
        <v>2.9166666666666665</v>
      </c>
      <c r="C49" s="46" t="s">
        <v>392</v>
      </c>
      <c r="E49" s="41"/>
    </row>
    <row r="52" spans="1:5" ht="18" x14ac:dyDescent="0.2">
      <c r="A52" s="42" t="s">
        <v>393</v>
      </c>
      <c r="B52" s="43"/>
      <c r="C52" s="43"/>
      <c r="D52" s="43"/>
      <c r="E52" s="43"/>
    </row>
    <row r="54" spans="1:5" x14ac:dyDescent="0.2">
      <c r="A54" s="44" t="s">
        <v>394</v>
      </c>
      <c r="B54" s="44" t="s">
        <v>316</v>
      </c>
      <c r="C54" s="44" t="s">
        <v>315</v>
      </c>
      <c r="D54" s="44" t="s">
        <v>395</v>
      </c>
    </row>
    <row r="55" spans="1:5" x14ac:dyDescent="0.2">
      <c r="A55" s="45" t="s">
        <v>396</v>
      </c>
      <c r="B55" s="58" t="s">
        <v>320</v>
      </c>
      <c r="C55" s="45" t="s">
        <v>397</v>
      </c>
      <c r="D55" s="45" t="s">
        <v>398</v>
      </c>
    </row>
    <row r="56" spans="1:5" x14ac:dyDescent="0.2">
      <c r="A56" s="45" t="s">
        <v>399</v>
      </c>
      <c r="B56" s="58" t="s">
        <v>329</v>
      </c>
      <c r="C56" s="45" t="s">
        <v>400</v>
      </c>
      <c r="D56" s="45" t="s">
        <v>401</v>
      </c>
    </row>
    <row r="57" spans="1:5" x14ac:dyDescent="0.2">
      <c r="A57" s="45" t="s">
        <v>402</v>
      </c>
      <c r="B57" s="58" t="s">
        <v>334</v>
      </c>
      <c r="C57" s="45" t="s">
        <v>403</v>
      </c>
      <c r="D57" s="45" t="s">
        <v>404</v>
      </c>
    </row>
    <row r="58" spans="1:5" x14ac:dyDescent="0.2">
      <c r="A58" s="45" t="s">
        <v>405</v>
      </c>
      <c r="B58" s="58" t="s">
        <v>338</v>
      </c>
      <c r="C58" s="45" t="s">
        <v>406</v>
      </c>
      <c r="D58" s="45" t="s">
        <v>407</v>
      </c>
    </row>
    <row r="59" spans="1:5" x14ac:dyDescent="0.2">
      <c r="A59" s="45" t="s">
        <v>408</v>
      </c>
      <c r="B59" s="58" t="s">
        <v>340</v>
      </c>
      <c r="C59" s="45" t="s">
        <v>409</v>
      </c>
      <c r="D59" s="45" t="s">
        <v>410</v>
      </c>
    </row>
    <row r="60" spans="1:5" x14ac:dyDescent="0.2">
      <c r="A60" s="45" t="s">
        <v>411</v>
      </c>
      <c r="B60" s="58" t="s">
        <v>351</v>
      </c>
      <c r="C60" s="45" t="s">
        <v>397</v>
      </c>
      <c r="D60" s="45" t="s">
        <v>412</v>
      </c>
    </row>
    <row r="61" spans="1:5" x14ac:dyDescent="0.2">
      <c r="A61" s="45" t="s">
        <v>413</v>
      </c>
      <c r="B61" s="58" t="s">
        <v>354</v>
      </c>
      <c r="C61" s="45" t="s">
        <v>400</v>
      </c>
      <c r="D61" s="45" t="s">
        <v>414</v>
      </c>
    </row>
    <row r="62" spans="1:5" x14ac:dyDescent="0.2">
      <c r="A62" s="45" t="s">
        <v>415</v>
      </c>
      <c r="B62" s="58" t="s">
        <v>378</v>
      </c>
      <c r="C62" s="45" t="s">
        <v>416</v>
      </c>
      <c r="D62" s="45" t="s">
        <v>417</v>
      </c>
    </row>
    <row r="63" spans="1:5" x14ac:dyDescent="0.2">
      <c r="A63" s="45" t="s">
        <v>418</v>
      </c>
      <c r="B63" s="58" t="s">
        <v>419</v>
      </c>
      <c r="C63" s="45" t="s">
        <v>420</v>
      </c>
      <c r="D63" s="45" t="s">
        <v>421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Assumptions</vt:lpstr>
      <vt:lpstr>User Growth</vt:lpstr>
      <vt:lpstr>Revenue</vt:lpstr>
      <vt:lpstr>Costs</vt:lpstr>
      <vt:lpstr>Unit Economics</vt:lpstr>
      <vt:lpstr>Cash Flow</vt:lpstr>
      <vt:lpstr>Dashboard</vt:lpstr>
      <vt:lpstr>Slide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Shinji Fujiwara</cp:lastModifiedBy>
  <dcterms:created xsi:type="dcterms:W3CDTF">2026-02-11T05:39:24Z</dcterms:created>
  <dcterms:modified xsi:type="dcterms:W3CDTF">2026-02-27T05:28:38Z</dcterms:modified>
</cp:coreProperties>
</file>